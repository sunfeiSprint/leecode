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uir\Desktop\"/>
    </mc:Choice>
  </mc:AlternateContent>
  <bookViews>
    <workbookView xWindow="0" yWindow="0" windowWidth="23040" windowHeight="9120"/>
  </bookViews>
  <sheets>
    <sheet name="Pivot" sheetId="4" r:id="rId1"/>
    <sheet name="MOCKData" sheetId="1" r:id="rId2"/>
    <sheet name="Sheet6" sheetId="9" r:id="rId3"/>
    <sheet name="&gt;20" sheetId="8" r:id="rId4"/>
    <sheet name="Report" sheetId="2" r:id="rId5"/>
    <sheet name="CA" sheetId="3" r:id="rId6"/>
    <sheet name="back-up" sheetId="7" r:id="rId7"/>
  </sheets>
  <functionGroups builtInGroupCount="18"/>
  <definedNames>
    <definedName name="_xlnm._FilterDatabase" localSheetId="1" hidden="1">MOCKData!$A$1:$H$52</definedName>
    <definedName name="_xlnm._FilterDatabase" localSheetId="0" hidden="1">Pivot!$D$3:$L$3</definedName>
  </definedNames>
  <calcPr calcId="152511"/>
  <pivotCaches>
    <pivotCache cacheId="15" r:id="rId8"/>
    <pivotCache cacheId="3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F3" i="1"/>
  <c r="G3" i="1"/>
  <c r="H3" i="1"/>
  <c r="E4" i="1"/>
  <c r="F4" i="1"/>
  <c r="G4" i="1"/>
  <c r="H4" i="1"/>
  <c r="E5" i="1"/>
  <c r="F5" i="1"/>
  <c r="G5" i="1"/>
  <c r="H5" i="1"/>
  <c r="E6" i="1"/>
  <c r="F6" i="1"/>
  <c r="G6" i="1"/>
  <c r="H6" i="1"/>
  <c r="E7" i="1"/>
  <c r="F7" i="1"/>
  <c r="G7" i="1"/>
  <c r="H7" i="1"/>
  <c r="E8" i="1"/>
  <c r="F8" i="1"/>
  <c r="G8" i="1"/>
  <c r="H8" i="1"/>
  <c r="E9" i="1"/>
  <c r="F9" i="1"/>
  <c r="G9" i="1"/>
  <c r="H9" i="1"/>
  <c r="E10" i="1"/>
  <c r="F10" i="1"/>
  <c r="G10" i="1"/>
  <c r="H10" i="1"/>
  <c r="E11" i="1"/>
  <c r="F11" i="1"/>
  <c r="G11" i="1"/>
  <c r="H11" i="1"/>
  <c r="E12" i="1"/>
  <c r="F12" i="1"/>
  <c r="G12" i="1"/>
  <c r="H12" i="1"/>
  <c r="E13" i="1"/>
  <c r="F13" i="1"/>
  <c r="G13" i="1"/>
  <c r="H13" i="1"/>
  <c r="E14" i="1"/>
  <c r="F14" i="1"/>
  <c r="G14" i="1"/>
  <c r="H14" i="1"/>
  <c r="E15" i="1"/>
  <c r="F15" i="1"/>
  <c r="G15" i="1"/>
  <c r="H15" i="1"/>
  <c r="E16" i="1"/>
  <c r="F16" i="1"/>
  <c r="G16" i="1"/>
  <c r="H16" i="1"/>
  <c r="E17" i="1"/>
  <c r="F17" i="1"/>
  <c r="G17" i="1"/>
  <c r="H17" i="1"/>
  <c r="E18" i="1"/>
  <c r="F18" i="1"/>
  <c r="G18" i="1"/>
  <c r="H18" i="1"/>
  <c r="E19" i="1"/>
  <c r="F19" i="1"/>
  <c r="G19" i="1"/>
  <c r="H19" i="1"/>
  <c r="E20" i="1"/>
  <c r="F20" i="1"/>
  <c r="G20" i="1"/>
  <c r="H20" i="1"/>
  <c r="E21" i="1"/>
  <c r="F21" i="1"/>
  <c r="G21" i="1"/>
  <c r="H21" i="1"/>
  <c r="E22" i="1"/>
  <c r="F22" i="1"/>
  <c r="G22" i="1"/>
  <c r="H22" i="1"/>
  <c r="E23" i="1"/>
  <c r="F23" i="1"/>
  <c r="G23" i="1"/>
  <c r="H23" i="1"/>
  <c r="E24" i="1"/>
  <c r="F24" i="1"/>
  <c r="G24" i="1"/>
  <c r="H24" i="1"/>
  <c r="E25" i="1"/>
  <c r="F25" i="1"/>
  <c r="G25" i="1"/>
  <c r="H25" i="1"/>
  <c r="E26" i="1"/>
  <c r="F26" i="1"/>
  <c r="G26" i="1"/>
  <c r="H26" i="1"/>
  <c r="E27" i="1"/>
  <c r="F27" i="1"/>
  <c r="G27" i="1"/>
  <c r="H27" i="1"/>
  <c r="E28" i="1"/>
  <c r="F28" i="1"/>
  <c r="G28" i="1"/>
  <c r="H28" i="1"/>
  <c r="E29" i="1"/>
  <c r="F29" i="1"/>
  <c r="G29" i="1"/>
  <c r="H29" i="1"/>
  <c r="E30" i="1"/>
  <c r="F30" i="1"/>
  <c r="G30" i="1"/>
  <c r="H30" i="1"/>
  <c r="E31" i="1"/>
  <c r="F31" i="1"/>
  <c r="G31" i="1"/>
  <c r="H31" i="1"/>
  <c r="E32" i="1"/>
  <c r="F32" i="1"/>
  <c r="G32" i="1"/>
  <c r="H32" i="1"/>
  <c r="E33" i="1"/>
  <c r="F33" i="1"/>
  <c r="G33" i="1"/>
  <c r="H33" i="1"/>
  <c r="E34" i="1"/>
  <c r="F34" i="1"/>
  <c r="G34" i="1"/>
  <c r="H34" i="1"/>
  <c r="E35" i="1"/>
  <c r="F35" i="1"/>
  <c r="G35" i="1"/>
  <c r="H35" i="1"/>
  <c r="E36" i="1"/>
  <c r="F36" i="1"/>
  <c r="G36" i="1"/>
  <c r="H36" i="1"/>
  <c r="E37" i="1"/>
  <c r="F37" i="1"/>
  <c r="G37" i="1"/>
  <c r="H37" i="1"/>
  <c r="E38" i="1"/>
  <c r="F38" i="1"/>
  <c r="G38" i="1"/>
  <c r="H38" i="1"/>
  <c r="E39" i="1"/>
  <c r="F39" i="1"/>
  <c r="G39" i="1"/>
  <c r="H39" i="1"/>
  <c r="E40" i="1"/>
  <c r="F40" i="1"/>
  <c r="G40" i="1"/>
  <c r="H40" i="1"/>
  <c r="E41" i="1"/>
  <c r="F41" i="1"/>
  <c r="G41" i="1"/>
  <c r="H41" i="1"/>
  <c r="E42" i="1"/>
  <c r="F42" i="1"/>
  <c r="G42" i="1"/>
  <c r="H42" i="1"/>
  <c r="E43" i="1"/>
  <c r="F43" i="1"/>
  <c r="G43" i="1"/>
  <c r="H43" i="1"/>
  <c r="E44" i="1"/>
  <c r="F44" i="1"/>
  <c r="G44" i="1"/>
  <c r="H44" i="1"/>
  <c r="E45" i="1"/>
  <c r="F45" i="1"/>
  <c r="G45" i="1"/>
  <c r="H45" i="1"/>
  <c r="E46" i="1"/>
  <c r="F46" i="1"/>
  <c r="G46" i="1"/>
  <c r="H46" i="1"/>
  <c r="E47" i="1"/>
  <c r="F47" i="1"/>
  <c r="G47" i="1"/>
  <c r="H47" i="1"/>
  <c r="E48" i="1"/>
  <c r="F48" i="1"/>
  <c r="G48" i="1"/>
  <c r="H48" i="1"/>
  <c r="E49" i="1"/>
  <c r="F49" i="1"/>
  <c r="G49" i="1"/>
  <c r="H49" i="1"/>
  <c r="E50" i="1"/>
  <c r="F50" i="1"/>
  <c r="G50" i="1"/>
  <c r="H50" i="1"/>
  <c r="E51" i="1"/>
  <c r="F51" i="1"/>
  <c r="G51" i="1"/>
  <c r="H51" i="1"/>
  <c r="E52" i="1"/>
  <c r="F52" i="1"/>
  <c r="G52" i="1"/>
  <c r="H52" i="1"/>
  <c r="F2" i="1" l="1"/>
  <c r="E2" i="1"/>
  <c r="G2" i="1" s="1"/>
  <c r="H2" i="1" l="1"/>
</calcChain>
</file>

<file path=xl/sharedStrings.xml><?xml version="1.0" encoding="utf-8"?>
<sst xmlns="http://schemas.openxmlformats.org/spreadsheetml/2006/main" count="287" uniqueCount="69">
  <si>
    <t>ProcessID</t>
  </si>
  <si>
    <t>UserID</t>
  </si>
  <si>
    <t>CreateTime</t>
  </si>
  <si>
    <t>2016.01.26</t>
  </si>
  <si>
    <t>2016.02.09</t>
  </si>
  <si>
    <t>2016.03.15</t>
  </si>
  <si>
    <t>2016.05.11</t>
  </si>
  <si>
    <t>2016.04.18</t>
  </si>
  <si>
    <t>2016.07.13</t>
  </si>
  <si>
    <t>2015.10.18</t>
  </si>
  <si>
    <t>2016.12.19</t>
  </si>
  <si>
    <t>ProcessedOn</t>
  </si>
  <si>
    <t>2016.03.24</t>
  </si>
  <si>
    <t>2016.02.25</t>
  </si>
  <si>
    <t>2016.04.26</t>
  </si>
  <si>
    <t>2016.03.22</t>
  </si>
  <si>
    <t>2016.03.25</t>
  </si>
  <si>
    <t>2016.05.24</t>
  </si>
  <si>
    <t>2016.06.25</t>
  </si>
  <si>
    <t>2016.05.22</t>
  </si>
  <si>
    <t>2016.06.14</t>
  </si>
  <si>
    <t>2016.06.07</t>
  </si>
  <si>
    <t>2016.07.15</t>
  </si>
  <si>
    <t>2016.07.18</t>
  </si>
  <si>
    <t>2016.07.20</t>
  </si>
  <si>
    <t>2016.07.27</t>
  </si>
  <si>
    <t>2016.06.29</t>
  </si>
  <si>
    <t>2016.09.24</t>
  </si>
  <si>
    <t>2016.10.24</t>
  </si>
  <si>
    <t>2016.08.16</t>
  </si>
  <si>
    <t>2016.08.24</t>
  </si>
  <si>
    <t>2016.11.23</t>
  </si>
  <si>
    <t>2016.11.16</t>
  </si>
  <si>
    <t>2016.11.29</t>
  </si>
  <si>
    <t>2016.12.1</t>
  </si>
  <si>
    <t>Due date</t>
  </si>
  <si>
    <t>CreateTime_original</t>
  </si>
  <si>
    <t>ProcessedOn_original</t>
  </si>
  <si>
    <t>Difference</t>
  </si>
  <si>
    <t>Row Labels</t>
  </si>
  <si>
    <t>Grand Total</t>
  </si>
  <si>
    <t>Sum of Difference</t>
  </si>
  <si>
    <t>Sum of Difference2</t>
  </si>
  <si>
    <t>(blank)</t>
  </si>
  <si>
    <t>2016.12.20</t>
  </si>
  <si>
    <t>2016/04/26</t>
  </si>
  <si>
    <t>2016/05/24</t>
  </si>
  <si>
    <t>2016/06/25</t>
  </si>
  <si>
    <t>2016/06/14</t>
  </si>
  <si>
    <t>2016/10/24</t>
  </si>
  <si>
    <t>2016/11/23</t>
  </si>
  <si>
    <t>2016/11/16</t>
  </si>
  <si>
    <t>2016/11/29</t>
  </si>
  <si>
    <t>2016/12/1</t>
  </si>
  <si>
    <t>2016/03/24</t>
  </si>
  <si>
    <t>2016/02/25</t>
  </si>
  <si>
    <t>2016/03/22</t>
  </si>
  <si>
    <t>2016/03/25</t>
  </si>
  <si>
    <t>2016/05/22</t>
  </si>
  <si>
    <t>2016/06/07</t>
  </si>
  <si>
    <t>2016/06/29</t>
  </si>
  <si>
    <t>2016/07/15</t>
  </si>
  <si>
    <t>2016/07/18</t>
  </si>
  <si>
    <t>2016/07/20</t>
  </si>
  <si>
    <t>2016/07/27</t>
  </si>
  <si>
    <t>2016/09/24</t>
  </si>
  <si>
    <t>2016/08/16</t>
  </si>
  <si>
    <t>2016/08/24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</si>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</sst>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yyyy/mm/dd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left"/>
    </xf>
    <xf numFmtId="168" fontId="0" fillId="0" borderId="0" xfId="0" applyNumberFormat="1"/>
    <xf numFmtId="0" fontId="0" fillId="2" borderId="0" xfId="0" applyFill="1"/>
    <xf numFmtId="168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becca Ren" refreshedDate="42708.676598148151" createdVersion="5" refreshedVersion="5" minRefreshableVersion="3" recordCount="52">
  <cacheSource type="worksheet">
    <worksheetSource ref="A1:G1048576" sheet="MOCKData"/>
  </cacheSource>
  <cacheFields count="9">
    <cacheField name="ProcessID" numFmtId="0">
      <sharedItems containsString="0" containsBlank="1" containsNumber="1" containsInteger="1" minValue="1" maxValue="51"/>
    </cacheField>
    <cacheField name="UserID" numFmtId="0">
      <sharedItems containsString="0" containsBlank="1" containsNumber="1" containsInteger="1" minValue="1001" maxValue="1006" count="7">
        <n v="1001"/>
        <n v="1002"/>
        <n v="1003"/>
        <n v="1004"/>
        <n v="1005"/>
        <n v="1006"/>
        <m/>
      </sharedItems>
    </cacheField>
    <cacheField name="CreateTime_original" numFmtId="0">
      <sharedItems containsBlank="1"/>
    </cacheField>
    <cacheField name="ProcessedOn_original" numFmtId="0">
      <sharedItems containsBlank="1"/>
    </cacheField>
    <cacheField name="CreateTime" numFmtId="0">
      <sharedItems containsBlank="1"/>
    </cacheField>
    <cacheField name="ProcessedOn" numFmtId="168">
      <sharedItems containsDate="1" containsBlank="1" containsMixedTypes="1" minDate="2016-12-04T00:00:00" maxDate="2016-12-05T00:00:00"/>
    </cacheField>
    <cacheField name="Due date" numFmtId="0">
      <sharedItems containsNonDate="0" containsDate="1" containsString="0" containsBlank="1" minDate="2015-12-11T00:00:00" maxDate="2017-02-15T00:00:00"/>
    </cacheField>
    <cacheField name="Difference" numFmtId="0">
      <sharedItems containsString="0" containsBlank="1" containsNumber="1" containsInteger="1" minValue="-51" maxValue="255"/>
    </cacheField>
    <cacheField name="Difference2" numFmtId="0">
      <sharedItems containsString="0" containsBlank="1" containsNumber="1" containsInteger="1" minValue="0" maxValue="2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becca Ren" refreshedDate="42708.707647685187" createdVersion="5" refreshedVersion="5" minRefreshableVersion="3" recordCount="51">
  <cacheSource type="worksheet">
    <worksheetSource ref="A1:G52" sheet="MOCKData"/>
  </cacheSource>
  <cacheFields count="9">
    <cacheField name="ProcessID" numFmtId="0">
      <sharedItems containsSemiMixedTypes="0" containsString="0" containsNumber="1" containsInteger="1" minValue="1" maxValue="51" count="5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</sharedItems>
    </cacheField>
    <cacheField name="UserID" numFmtId="0">
      <sharedItems containsSemiMixedTypes="0" containsString="0" containsNumber="1" containsInteger="1" minValue="1001" maxValue="1006" count="6">
        <n v="1001"/>
        <n v="1002"/>
        <n v="1003"/>
        <n v="1004"/>
        <n v="1005"/>
        <n v="1006"/>
      </sharedItems>
    </cacheField>
    <cacheField name="CreateTime_original" numFmtId="0">
      <sharedItems/>
    </cacheField>
    <cacheField name="ProcessedOn_original" numFmtId="0">
      <sharedItems containsBlank="1"/>
    </cacheField>
    <cacheField name="CreateTime" numFmtId="14">
      <sharedItems containsNonDate="0" containsDate="1" containsMixedTypes="1" minDate="2015-10-18T00:00:00" maxDate="2016-12-21T00:00:00" count="18">
        <d v="2016-01-26T00:00:00"/>
        <d v="2016-02-09T00:00:00"/>
        <d v="2016-03-15T00:00:00"/>
        <d v="2016-05-11T00:00:00"/>
        <d v="2016-04-18T00:00:00"/>
        <d v="2016-07-13T00:00:00"/>
        <d v="2015-10-18T00:00:00"/>
        <d v="2016-12-19T00:00:00"/>
        <d v="2016-12-20T00:00:00"/>
        <s v="2016/07/13" u="1"/>
        <s v="2015/10/18" u="1"/>
        <s v="2016/12/20" u="1"/>
        <s v="2016/04/18" u="1"/>
        <s v="2016/12/19" u="1"/>
        <s v="2016/02/09" u="1"/>
        <s v="2016/01/26" u="1"/>
        <s v="2016/05/11" u="1"/>
        <s v="2016/03/15" u="1"/>
      </sharedItems>
    </cacheField>
    <cacheField name="ProcessedOn" numFmtId="168">
      <sharedItems containsDate="1" containsMixedTypes="1" minDate="2016-12-04T00:00:00" maxDate="2016-12-05T00:00:00" count="24">
        <s v="2016/03/24"/>
        <s v="2016/04/26"/>
        <s v="2016/02/25"/>
        <s v="2016/03/22"/>
        <s v="2016/03/25"/>
        <s v="2016/05/24"/>
        <s v="2016/06/25"/>
        <s v="2016/05/22"/>
        <s v="2016/06/14"/>
        <s v="2016/06/07"/>
        <s v="2016/07/15"/>
        <s v="2016/07/18"/>
        <s v="2016/07/20"/>
        <s v="2016/07/27"/>
        <d v="2016-12-04T00:00:00"/>
        <s v="2016/06/29"/>
        <s v="2016/10/24"/>
        <s v="2016/09/24"/>
        <s v="2016/08/16"/>
        <s v="2016/08/24"/>
        <s v="2016/11/23"/>
        <s v="2016/11/16"/>
        <s v="2016/11/29"/>
        <s v="2016/12/1"/>
      </sharedItems>
    </cacheField>
    <cacheField name="Due date" numFmtId="168">
      <sharedItems containsSemiMixedTypes="0" containsNonDate="0" containsDate="1" containsString="0" minDate="2015-12-11T00:00:00" maxDate="2017-02-15T00:00:00" count="9">
        <d v="2016-03-22T00:00:00"/>
        <d v="2016-04-05T00:00:00"/>
        <d v="2016-05-10T00:00:00"/>
        <d v="2016-07-06T00:00:00"/>
        <d v="2016-06-13T00:00:00"/>
        <d v="2016-09-07T00:00:00"/>
        <d v="2015-12-11T00:00:00"/>
        <d v="2017-02-13T00:00:00"/>
        <d v="2017-02-14T00:00:00"/>
      </sharedItems>
    </cacheField>
    <cacheField name="Difference" numFmtId="1">
      <sharedItems containsSemiMixedTypes="0" containsString="0" containsNumber="1" containsInteger="1" minValue="-51" maxValue="255"/>
    </cacheField>
    <cacheField name="Difference2" numFmtId="0">
      <sharedItems containsSemiMixedTypes="0" containsString="0" containsNumber="1" containsInteger="1" minValue="0" maxValue="2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n v="1"/>
    <x v="0"/>
    <s v="2016.01.26"/>
    <s v="2016.03.24"/>
    <s v="2016/01/26"/>
    <s v="2016/03/24"/>
    <d v="2016-03-22T00:00:00"/>
    <n v="2"/>
    <n v="2"/>
  </r>
  <r>
    <n v="2"/>
    <x v="1"/>
    <s v="2016.01.26"/>
    <s v="2016.04.26"/>
    <s v="2016/01/26"/>
    <s v="2016/04/26"/>
    <d v="2016-03-22T00:00:00"/>
    <n v="25"/>
    <n v="25"/>
  </r>
  <r>
    <n v="3"/>
    <x v="2"/>
    <s v="2016.01.26"/>
    <s v="2016.02.25"/>
    <s v="2016/01/26"/>
    <s v="2016/02/25"/>
    <d v="2016-03-22T00:00:00"/>
    <n v="-18"/>
    <n v="0"/>
  </r>
  <r>
    <n v="4"/>
    <x v="3"/>
    <s v="2016.01.26"/>
    <s v="2016.03.22"/>
    <s v="2016/01/26"/>
    <s v="2016/03/22"/>
    <d v="2016-03-22T00:00:00"/>
    <n v="0"/>
    <n v="0"/>
  </r>
  <r>
    <n v="5"/>
    <x v="4"/>
    <s v="2016.02.09"/>
    <s v="2016.03.25"/>
    <s v="2016/02/09"/>
    <s v="2016/03/25"/>
    <d v="2016-04-05T00:00:00"/>
    <n v="-7"/>
    <n v="0"/>
  </r>
  <r>
    <n v="6"/>
    <x v="0"/>
    <s v="2016.02.09"/>
    <s v="2016.05.24"/>
    <s v="2016/02/09"/>
    <s v="2016/05/24"/>
    <d v="2016-04-05T00:00:00"/>
    <n v="35"/>
    <n v="35"/>
  </r>
  <r>
    <n v="7"/>
    <x v="1"/>
    <s v="2016.02.09"/>
    <s v="2016.04.26"/>
    <s v="2016/02/09"/>
    <s v="2016/04/26"/>
    <d v="2016-04-05T00:00:00"/>
    <n v="15"/>
    <n v="15"/>
  </r>
  <r>
    <n v="8"/>
    <x v="2"/>
    <s v="2016.02.09"/>
    <s v="2016.06.25"/>
    <s v="2016/02/09"/>
    <s v="2016/06/25"/>
    <d v="2016-04-05T00:00:00"/>
    <n v="58"/>
    <n v="58"/>
  </r>
  <r>
    <n v="9"/>
    <x v="3"/>
    <s v="2016.03.15"/>
    <s v="2016.05.22"/>
    <s v="2016/03/15"/>
    <s v="2016/05/22"/>
    <d v="2016-05-10T00:00:00"/>
    <n v="8"/>
    <n v="8"/>
  </r>
  <r>
    <n v="10"/>
    <x v="4"/>
    <s v="2016.03.15"/>
    <s v="2016.06.14"/>
    <s v="2016/03/15"/>
    <s v="2016/06/14"/>
    <d v="2016-05-10T00:00:00"/>
    <n v="25"/>
    <n v="25"/>
  </r>
  <r>
    <n v="11"/>
    <x v="0"/>
    <s v="2016.03.15"/>
    <s v="2016.06.14"/>
    <s v="2016/03/15"/>
    <s v="2016/06/14"/>
    <d v="2016-05-10T00:00:00"/>
    <n v="25"/>
    <n v="25"/>
  </r>
  <r>
    <n v="12"/>
    <x v="1"/>
    <s v="2016.03.15"/>
    <s v="2016.06.07"/>
    <s v="2016/03/15"/>
    <s v="2016/06/07"/>
    <d v="2016-05-10T00:00:00"/>
    <n v="20"/>
    <n v="20"/>
  </r>
  <r>
    <n v="13"/>
    <x v="2"/>
    <s v="2016.03.15"/>
    <s v="2016.06.07"/>
    <s v="2016/03/15"/>
    <s v="2016/06/07"/>
    <d v="2016-05-10T00:00:00"/>
    <n v="20"/>
    <n v="20"/>
  </r>
  <r>
    <n v="14"/>
    <x v="3"/>
    <s v="2016.03.15"/>
    <s v="2016.06.25"/>
    <s v="2016/03/15"/>
    <s v="2016/06/25"/>
    <d v="2016-05-10T00:00:00"/>
    <n v="33"/>
    <n v="33"/>
  </r>
  <r>
    <n v="15"/>
    <x v="4"/>
    <s v="2016.03.15"/>
    <s v="2016.06.25"/>
    <s v="2016/03/15"/>
    <s v="2016/06/25"/>
    <d v="2016-05-10T00:00:00"/>
    <n v="33"/>
    <n v="33"/>
  </r>
  <r>
    <n v="16"/>
    <x v="0"/>
    <s v="2016.03.15"/>
    <s v="2016.06.25"/>
    <s v="2016/03/15"/>
    <s v="2016/06/25"/>
    <d v="2016-05-10T00:00:00"/>
    <n v="33"/>
    <n v="33"/>
  </r>
  <r>
    <n v="17"/>
    <x v="1"/>
    <s v="2016.05.11"/>
    <s v="2016.06.25"/>
    <s v="2016/05/11"/>
    <s v="2016/06/25"/>
    <d v="2016-07-06T00:00:00"/>
    <n v="-7"/>
    <n v="0"/>
  </r>
  <r>
    <n v="18"/>
    <x v="2"/>
    <s v="2016.05.11"/>
    <s v="2016.07.15"/>
    <s v="2016/05/11"/>
    <s v="2016/07/15"/>
    <d v="2016-07-06T00:00:00"/>
    <n v="7"/>
    <n v="7"/>
  </r>
  <r>
    <n v="19"/>
    <x v="3"/>
    <s v="2016.05.11"/>
    <s v="2016.07.18"/>
    <s v="2016/05/11"/>
    <s v="2016/07/18"/>
    <d v="2016-07-06T00:00:00"/>
    <n v="8"/>
    <n v="8"/>
  </r>
  <r>
    <n v="20"/>
    <x v="4"/>
    <s v="2016.05.11"/>
    <s v="2016.07.20"/>
    <s v="2016/05/11"/>
    <s v="2016/07/20"/>
    <d v="2016-07-06T00:00:00"/>
    <n v="10"/>
    <n v="10"/>
  </r>
  <r>
    <n v="21"/>
    <x v="0"/>
    <s v="2016.05.11"/>
    <s v="2016.07.27"/>
    <s v="2016/05/11"/>
    <s v="2016/07/27"/>
    <d v="2016-07-06T00:00:00"/>
    <n v="15"/>
    <n v="15"/>
  </r>
  <r>
    <n v="22"/>
    <x v="1"/>
    <s v="2016.05.11"/>
    <s v="2016.07.27"/>
    <s v="2016/05/11"/>
    <s v="2016/07/27"/>
    <d v="2016-07-06T00:00:00"/>
    <n v="15"/>
    <n v="15"/>
  </r>
  <r>
    <n v="23"/>
    <x v="2"/>
    <s v="2016.05.11"/>
    <m/>
    <s v="2016/05/11"/>
    <d v="2016-12-04T00:00:00"/>
    <d v="2016-07-06T00:00:00"/>
    <n v="107"/>
    <n v="107"/>
  </r>
  <r>
    <n v="24"/>
    <x v="3"/>
    <s v="2016.05.11"/>
    <m/>
    <s v="2016/05/11"/>
    <d v="2016-12-04T00:00:00"/>
    <d v="2016-07-06T00:00:00"/>
    <n v="107"/>
    <n v="107"/>
  </r>
  <r>
    <n v="25"/>
    <x v="4"/>
    <s v="2016.05.11"/>
    <s v="2016.06.29"/>
    <s v="2016/05/11"/>
    <s v="2016/06/29"/>
    <d v="2016-07-06T00:00:00"/>
    <n v="-5"/>
    <n v="0"/>
  </r>
  <r>
    <n v="26"/>
    <x v="0"/>
    <s v="2016.04.18"/>
    <s v="2016.06.29"/>
    <s v="2016/04/18"/>
    <s v="2016/06/29"/>
    <d v="2016-06-13T00:00:00"/>
    <n v="12"/>
    <n v="12"/>
  </r>
  <r>
    <n v="27"/>
    <x v="1"/>
    <s v="2016.04.18"/>
    <s v="2016.06.29"/>
    <s v="2016/04/18"/>
    <s v="2016/06/29"/>
    <d v="2016-06-13T00:00:00"/>
    <n v="12"/>
    <n v="12"/>
  </r>
  <r>
    <n v="28"/>
    <x v="2"/>
    <s v="2016.04.18"/>
    <s v="2016.06.25"/>
    <s v="2016/04/18"/>
    <s v="2016/06/25"/>
    <d v="2016-06-13T00:00:00"/>
    <n v="9"/>
    <n v="9"/>
  </r>
  <r>
    <n v="29"/>
    <x v="3"/>
    <s v="2016.04.18"/>
    <s v="2016.05.22"/>
    <s v="2016/04/18"/>
    <s v="2016/05/22"/>
    <d v="2016-06-13T00:00:00"/>
    <n v="-15"/>
    <n v="0"/>
  </r>
  <r>
    <n v="30"/>
    <x v="4"/>
    <s v="2016.04.18"/>
    <s v="2016.06.14"/>
    <s v="2016/04/18"/>
    <s v="2016/06/14"/>
    <d v="2016-06-13T00:00:00"/>
    <n v="1"/>
    <n v="1"/>
  </r>
  <r>
    <n v="31"/>
    <x v="0"/>
    <s v="2016.04.18"/>
    <s v="2016.06.14"/>
    <s v="2016/04/18"/>
    <s v="2016/06/14"/>
    <d v="2016-06-13T00:00:00"/>
    <n v="1"/>
    <n v="1"/>
  </r>
  <r>
    <n v="32"/>
    <x v="1"/>
    <s v="2016.04.18"/>
    <s v="2016.06.07"/>
    <s v="2016/04/18"/>
    <s v="2016/06/07"/>
    <d v="2016-06-13T00:00:00"/>
    <n v="-4"/>
    <n v="0"/>
  </r>
  <r>
    <n v="33"/>
    <x v="2"/>
    <s v="2016.07.13"/>
    <s v="2016.10.24"/>
    <s v="2016/07/13"/>
    <s v="2016/10/24"/>
    <d v="2016-09-07T00:00:00"/>
    <n v="33"/>
    <n v="33"/>
  </r>
  <r>
    <n v="34"/>
    <x v="3"/>
    <s v="2016.07.13"/>
    <s v="2016.10.24"/>
    <s v="2016/07/13"/>
    <s v="2016/10/24"/>
    <d v="2016-09-07T00:00:00"/>
    <n v="33"/>
    <n v="33"/>
  </r>
  <r>
    <n v="35"/>
    <x v="4"/>
    <s v="2016.07.13"/>
    <s v="2016.09.24"/>
    <s v="2016/07/13"/>
    <s v="2016/09/24"/>
    <d v="2016-09-07T00:00:00"/>
    <n v="12"/>
    <n v="12"/>
  </r>
  <r>
    <n v="36"/>
    <x v="0"/>
    <s v="2016.07.13"/>
    <s v="2016.09.24"/>
    <s v="2016/07/13"/>
    <s v="2016/09/24"/>
    <d v="2016-09-07T00:00:00"/>
    <n v="12"/>
    <n v="12"/>
  </r>
  <r>
    <n v="37"/>
    <x v="1"/>
    <s v="2016.07.13"/>
    <s v="2016.08.16"/>
    <s v="2016/07/13"/>
    <s v="2016/08/16"/>
    <d v="2016-09-07T00:00:00"/>
    <n v="-16"/>
    <n v="0"/>
  </r>
  <r>
    <n v="38"/>
    <x v="2"/>
    <s v="2016.07.13"/>
    <s v="2016.08.24"/>
    <s v="2016/07/13"/>
    <s v="2016/08/24"/>
    <d v="2016-09-07T00:00:00"/>
    <n v="-10"/>
    <n v="0"/>
  </r>
  <r>
    <n v="39"/>
    <x v="3"/>
    <s v="2015.10.18"/>
    <s v="2016.11.23"/>
    <s v="2015/10/18"/>
    <s v="2016/11/23"/>
    <d v="2015-12-11T00:00:00"/>
    <n v="248"/>
    <n v="248"/>
  </r>
  <r>
    <n v="40"/>
    <x v="4"/>
    <s v="2015.10.18"/>
    <s v="2016.11.16"/>
    <s v="2015/10/18"/>
    <s v="2016/11/16"/>
    <d v="2015-12-11T00:00:00"/>
    <n v="243"/>
    <n v="243"/>
  </r>
  <r>
    <n v="41"/>
    <x v="0"/>
    <s v="2015.10.18"/>
    <s v="2016.11.29"/>
    <s v="2015/10/18"/>
    <s v="2016/11/29"/>
    <d v="2015-12-11T00:00:00"/>
    <n v="252"/>
    <n v="252"/>
  </r>
  <r>
    <n v="42"/>
    <x v="1"/>
    <s v="2015.10.18"/>
    <s v="2016.12.1"/>
    <s v="2015/10/18"/>
    <s v="2016/12/1"/>
    <d v="2015-12-11T00:00:00"/>
    <n v="254"/>
    <n v="254"/>
  </r>
  <r>
    <n v="43"/>
    <x v="2"/>
    <s v="2015.10.18"/>
    <s v="2016.12.1"/>
    <s v="2015/10/18"/>
    <s v="2016/12/1"/>
    <d v="2015-12-11T00:00:00"/>
    <n v="254"/>
    <n v="254"/>
  </r>
  <r>
    <n v="44"/>
    <x v="3"/>
    <s v="2015.10.18"/>
    <m/>
    <s v="2015/10/18"/>
    <d v="2016-12-04T00:00:00"/>
    <d v="2015-12-11T00:00:00"/>
    <n v="255"/>
    <n v="255"/>
  </r>
  <r>
    <n v="45"/>
    <x v="4"/>
    <s v="2015.10.18"/>
    <m/>
    <s v="2015/10/18"/>
    <d v="2016-12-04T00:00:00"/>
    <d v="2015-12-11T00:00:00"/>
    <n v="255"/>
    <n v="255"/>
  </r>
  <r>
    <n v="46"/>
    <x v="0"/>
    <s v="2016.12.19"/>
    <m/>
    <s v="2016/12/19"/>
    <d v="2016-12-04T00:00:00"/>
    <d v="2017-02-13T00:00:00"/>
    <n v="-50"/>
    <n v="0"/>
  </r>
  <r>
    <n v="47"/>
    <x v="1"/>
    <s v="2016.12.19"/>
    <m/>
    <s v="2016/12/19"/>
    <d v="2016-12-04T00:00:00"/>
    <d v="2017-02-13T00:00:00"/>
    <n v="-50"/>
    <n v="0"/>
  </r>
  <r>
    <n v="48"/>
    <x v="2"/>
    <s v="2016.12.19"/>
    <m/>
    <s v="2016/12/19"/>
    <d v="2016-12-04T00:00:00"/>
    <d v="2017-02-13T00:00:00"/>
    <n v="-50"/>
    <n v="0"/>
  </r>
  <r>
    <n v="49"/>
    <x v="3"/>
    <s v="2016.12.19"/>
    <m/>
    <s v="2016/12/19"/>
    <d v="2016-12-04T00:00:00"/>
    <d v="2017-02-13T00:00:00"/>
    <n v="-50"/>
    <n v="0"/>
  </r>
  <r>
    <n v="50"/>
    <x v="4"/>
    <s v="2016.12.19"/>
    <m/>
    <s v="2016/12/19"/>
    <d v="2016-12-04T00:00:00"/>
    <d v="2017-02-13T00:00:00"/>
    <n v="-50"/>
    <n v="0"/>
  </r>
  <r>
    <n v="51"/>
    <x v="5"/>
    <s v="2016.12.20"/>
    <m/>
    <s v="2016/12/20"/>
    <d v="2016-12-04T00:00:00"/>
    <d v="2017-02-14T00:00:00"/>
    <n v="-51"/>
    <n v="0"/>
  </r>
  <r>
    <m/>
    <x v="6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1">
  <r>
    <x v="0"/>
    <x v="0"/>
    <s v="2016.01.26"/>
    <s v="2016.03.24"/>
    <x v="0"/>
    <x v="0"/>
    <x v="0"/>
    <n v="2"/>
    <n v="2"/>
  </r>
  <r>
    <x v="1"/>
    <x v="1"/>
    <s v="2016.01.26"/>
    <s v="2016.04.26"/>
    <x v="0"/>
    <x v="1"/>
    <x v="0"/>
    <n v="25"/>
    <n v="25"/>
  </r>
  <r>
    <x v="2"/>
    <x v="2"/>
    <s v="2016.01.26"/>
    <s v="2016.02.25"/>
    <x v="0"/>
    <x v="2"/>
    <x v="0"/>
    <n v="-18"/>
    <n v="0"/>
  </r>
  <r>
    <x v="3"/>
    <x v="3"/>
    <s v="2016.01.26"/>
    <s v="2016.03.22"/>
    <x v="0"/>
    <x v="3"/>
    <x v="0"/>
    <n v="0"/>
    <n v="0"/>
  </r>
  <r>
    <x v="4"/>
    <x v="4"/>
    <s v="2016.02.09"/>
    <s v="2016.03.25"/>
    <x v="1"/>
    <x v="4"/>
    <x v="1"/>
    <n v="-7"/>
    <n v="0"/>
  </r>
  <r>
    <x v="5"/>
    <x v="0"/>
    <s v="2016.02.09"/>
    <s v="2016.05.24"/>
    <x v="1"/>
    <x v="5"/>
    <x v="1"/>
    <n v="35"/>
    <n v="35"/>
  </r>
  <r>
    <x v="6"/>
    <x v="1"/>
    <s v="2016.02.09"/>
    <s v="2016.04.26"/>
    <x v="1"/>
    <x v="1"/>
    <x v="1"/>
    <n v="15"/>
    <n v="15"/>
  </r>
  <r>
    <x v="7"/>
    <x v="2"/>
    <s v="2016.02.09"/>
    <s v="2016.06.25"/>
    <x v="1"/>
    <x v="6"/>
    <x v="1"/>
    <n v="58"/>
    <n v="58"/>
  </r>
  <r>
    <x v="8"/>
    <x v="3"/>
    <s v="2016.03.15"/>
    <s v="2016.05.22"/>
    <x v="2"/>
    <x v="7"/>
    <x v="2"/>
    <n v="8"/>
    <n v="8"/>
  </r>
  <r>
    <x v="9"/>
    <x v="4"/>
    <s v="2016.03.15"/>
    <s v="2016.06.14"/>
    <x v="2"/>
    <x v="8"/>
    <x v="2"/>
    <n v="25"/>
    <n v="25"/>
  </r>
  <r>
    <x v="10"/>
    <x v="0"/>
    <s v="2016.03.15"/>
    <s v="2016.06.14"/>
    <x v="2"/>
    <x v="8"/>
    <x v="2"/>
    <n v="25"/>
    <n v="25"/>
  </r>
  <r>
    <x v="11"/>
    <x v="1"/>
    <s v="2016.03.15"/>
    <s v="2016.06.07"/>
    <x v="2"/>
    <x v="9"/>
    <x v="2"/>
    <n v="20"/>
    <n v="20"/>
  </r>
  <r>
    <x v="12"/>
    <x v="2"/>
    <s v="2016.03.15"/>
    <s v="2016.06.07"/>
    <x v="2"/>
    <x v="9"/>
    <x v="2"/>
    <n v="20"/>
    <n v="20"/>
  </r>
  <r>
    <x v="13"/>
    <x v="3"/>
    <s v="2016.03.15"/>
    <s v="2016.06.25"/>
    <x v="2"/>
    <x v="6"/>
    <x v="2"/>
    <n v="33"/>
    <n v="33"/>
  </r>
  <r>
    <x v="14"/>
    <x v="4"/>
    <s v="2016.03.15"/>
    <s v="2016.06.25"/>
    <x v="2"/>
    <x v="6"/>
    <x v="2"/>
    <n v="33"/>
    <n v="33"/>
  </r>
  <r>
    <x v="15"/>
    <x v="0"/>
    <s v="2016.03.15"/>
    <s v="2016.06.25"/>
    <x v="2"/>
    <x v="6"/>
    <x v="2"/>
    <n v="33"/>
    <n v="33"/>
  </r>
  <r>
    <x v="16"/>
    <x v="1"/>
    <s v="2016.05.11"/>
    <s v="2016.06.25"/>
    <x v="3"/>
    <x v="6"/>
    <x v="3"/>
    <n v="-7"/>
    <n v="0"/>
  </r>
  <r>
    <x v="17"/>
    <x v="2"/>
    <s v="2016.05.11"/>
    <s v="2016.07.15"/>
    <x v="3"/>
    <x v="10"/>
    <x v="3"/>
    <n v="7"/>
    <n v="7"/>
  </r>
  <r>
    <x v="18"/>
    <x v="3"/>
    <s v="2016.05.11"/>
    <s v="2016.07.18"/>
    <x v="3"/>
    <x v="11"/>
    <x v="3"/>
    <n v="8"/>
    <n v="8"/>
  </r>
  <r>
    <x v="19"/>
    <x v="4"/>
    <s v="2016.05.11"/>
    <s v="2016.07.20"/>
    <x v="3"/>
    <x v="12"/>
    <x v="3"/>
    <n v="10"/>
    <n v="10"/>
  </r>
  <r>
    <x v="20"/>
    <x v="0"/>
    <s v="2016.05.11"/>
    <s v="2016.07.27"/>
    <x v="3"/>
    <x v="13"/>
    <x v="3"/>
    <n v="15"/>
    <n v="15"/>
  </r>
  <r>
    <x v="21"/>
    <x v="1"/>
    <s v="2016.05.11"/>
    <s v="2016.07.27"/>
    <x v="3"/>
    <x v="13"/>
    <x v="3"/>
    <n v="15"/>
    <n v="15"/>
  </r>
  <r>
    <x v="22"/>
    <x v="2"/>
    <s v="2016.05.11"/>
    <m/>
    <x v="3"/>
    <x v="14"/>
    <x v="3"/>
    <n v="107"/>
    <n v="107"/>
  </r>
  <r>
    <x v="23"/>
    <x v="3"/>
    <s v="2016.05.11"/>
    <m/>
    <x v="3"/>
    <x v="14"/>
    <x v="3"/>
    <n v="107"/>
    <n v="107"/>
  </r>
  <r>
    <x v="24"/>
    <x v="4"/>
    <s v="2016.05.11"/>
    <s v="2016.06.29"/>
    <x v="3"/>
    <x v="15"/>
    <x v="3"/>
    <n v="-5"/>
    <n v="0"/>
  </r>
  <r>
    <x v="25"/>
    <x v="0"/>
    <s v="2016.04.18"/>
    <s v="2016.06.29"/>
    <x v="4"/>
    <x v="15"/>
    <x v="4"/>
    <n v="12"/>
    <n v="12"/>
  </r>
  <r>
    <x v="26"/>
    <x v="1"/>
    <s v="2016.04.18"/>
    <s v="2016.06.29"/>
    <x v="4"/>
    <x v="15"/>
    <x v="4"/>
    <n v="12"/>
    <n v="12"/>
  </r>
  <r>
    <x v="27"/>
    <x v="2"/>
    <s v="2016.04.18"/>
    <s v="2016.06.25"/>
    <x v="4"/>
    <x v="6"/>
    <x v="4"/>
    <n v="9"/>
    <n v="9"/>
  </r>
  <r>
    <x v="28"/>
    <x v="3"/>
    <s v="2016.04.18"/>
    <s v="2016.05.22"/>
    <x v="4"/>
    <x v="7"/>
    <x v="4"/>
    <n v="-15"/>
    <n v="0"/>
  </r>
  <r>
    <x v="29"/>
    <x v="4"/>
    <s v="2016.04.18"/>
    <s v="2016.06.14"/>
    <x v="4"/>
    <x v="8"/>
    <x v="4"/>
    <n v="1"/>
    <n v="1"/>
  </r>
  <r>
    <x v="30"/>
    <x v="0"/>
    <s v="2016.04.18"/>
    <s v="2016.06.14"/>
    <x v="4"/>
    <x v="8"/>
    <x v="4"/>
    <n v="1"/>
    <n v="1"/>
  </r>
  <r>
    <x v="31"/>
    <x v="1"/>
    <s v="2016.04.18"/>
    <s v="2016.06.07"/>
    <x v="4"/>
    <x v="9"/>
    <x v="4"/>
    <n v="-4"/>
    <n v="0"/>
  </r>
  <r>
    <x v="32"/>
    <x v="2"/>
    <s v="2016.07.13"/>
    <s v="2016.10.24"/>
    <x v="5"/>
    <x v="16"/>
    <x v="5"/>
    <n v="33"/>
    <n v="33"/>
  </r>
  <r>
    <x v="33"/>
    <x v="3"/>
    <s v="2016.07.13"/>
    <s v="2016.10.24"/>
    <x v="5"/>
    <x v="16"/>
    <x v="5"/>
    <n v="33"/>
    <n v="33"/>
  </r>
  <r>
    <x v="34"/>
    <x v="4"/>
    <s v="2016.07.13"/>
    <s v="2016.09.24"/>
    <x v="5"/>
    <x v="17"/>
    <x v="5"/>
    <n v="12"/>
    <n v="12"/>
  </r>
  <r>
    <x v="35"/>
    <x v="0"/>
    <s v="2016.07.13"/>
    <s v="2016.09.24"/>
    <x v="5"/>
    <x v="17"/>
    <x v="5"/>
    <n v="12"/>
    <n v="12"/>
  </r>
  <r>
    <x v="36"/>
    <x v="1"/>
    <s v="2016.07.13"/>
    <s v="2016.08.16"/>
    <x v="5"/>
    <x v="18"/>
    <x v="5"/>
    <n v="-16"/>
    <n v="0"/>
  </r>
  <r>
    <x v="37"/>
    <x v="2"/>
    <s v="2016.07.13"/>
    <s v="2016.08.24"/>
    <x v="5"/>
    <x v="19"/>
    <x v="5"/>
    <n v="-10"/>
    <n v="0"/>
  </r>
  <r>
    <x v="38"/>
    <x v="3"/>
    <s v="2015.10.18"/>
    <s v="2016.11.23"/>
    <x v="6"/>
    <x v="20"/>
    <x v="6"/>
    <n v="248"/>
    <n v="248"/>
  </r>
  <r>
    <x v="39"/>
    <x v="4"/>
    <s v="2015.10.18"/>
    <s v="2016.11.16"/>
    <x v="6"/>
    <x v="21"/>
    <x v="6"/>
    <n v="243"/>
    <n v="243"/>
  </r>
  <r>
    <x v="40"/>
    <x v="0"/>
    <s v="2015.10.18"/>
    <s v="2016.11.29"/>
    <x v="6"/>
    <x v="22"/>
    <x v="6"/>
    <n v="252"/>
    <n v="252"/>
  </r>
  <r>
    <x v="41"/>
    <x v="1"/>
    <s v="2015.10.18"/>
    <s v="2016.12.1"/>
    <x v="6"/>
    <x v="23"/>
    <x v="6"/>
    <n v="254"/>
    <n v="254"/>
  </r>
  <r>
    <x v="42"/>
    <x v="2"/>
    <s v="2015.10.18"/>
    <s v="2016.12.1"/>
    <x v="6"/>
    <x v="23"/>
    <x v="6"/>
    <n v="254"/>
    <n v="254"/>
  </r>
  <r>
    <x v="43"/>
    <x v="3"/>
    <s v="2015.10.18"/>
    <m/>
    <x v="6"/>
    <x v="14"/>
    <x v="6"/>
    <n v="255"/>
    <n v="255"/>
  </r>
  <r>
    <x v="44"/>
    <x v="4"/>
    <s v="2015.10.18"/>
    <m/>
    <x v="6"/>
    <x v="14"/>
    <x v="6"/>
    <n v="255"/>
    <n v="255"/>
  </r>
  <r>
    <x v="45"/>
    <x v="0"/>
    <s v="2016.12.19"/>
    <m/>
    <x v="7"/>
    <x v="14"/>
    <x v="7"/>
    <n v="-50"/>
    <n v="0"/>
  </r>
  <r>
    <x v="46"/>
    <x v="1"/>
    <s v="2016.12.19"/>
    <m/>
    <x v="7"/>
    <x v="14"/>
    <x v="7"/>
    <n v="-50"/>
    <n v="0"/>
  </r>
  <r>
    <x v="47"/>
    <x v="2"/>
    <s v="2016.12.19"/>
    <m/>
    <x v="7"/>
    <x v="14"/>
    <x v="7"/>
    <n v="-50"/>
    <n v="0"/>
  </r>
  <r>
    <x v="48"/>
    <x v="3"/>
    <s v="2016.12.19"/>
    <m/>
    <x v="7"/>
    <x v="14"/>
    <x v="7"/>
    <n v="-50"/>
    <n v="0"/>
  </r>
  <r>
    <x v="49"/>
    <x v="4"/>
    <s v="2016.12.19"/>
    <m/>
    <x v="7"/>
    <x v="14"/>
    <x v="7"/>
    <n v="-50"/>
    <n v="0"/>
  </r>
  <r>
    <x v="50"/>
    <x v="5"/>
    <s v="2016.12.20"/>
    <m/>
    <x v="8"/>
    <x v="14"/>
    <x v="8"/>
    <n v="-5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D3:I54" firstHeaderRow="0" firstDataRow="1" firstDataCol="4" rowPageCount="1" colPageCount="1"/>
  <pivotFields count="9">
    <pivotField axis="axisRow" compact="0" outline="0" showAll="0" defaultSubtota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8">
        <item m="1" x="10"/>
        <item m="1" x="15"/>
        <item m="1" x="14"/>
        <item m="1" x="17"/>
        <item m="1" x="12"/>
        <item m="1" x="16"/>
        <item m="1" x="9"/>
        <item m="1" x="13"/>
        <item m="1" x="11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24">
        <item x="2"/>
        <item x="3"/>
        <item x="0"/>
        <item x="4"/>
        <item x="1"/>
        <item x="7"/>
        <item x="5"/>
        <item x="9"/>
        <item x="8"/>
        <item x="6"/>
        <item x="15"/>
        <item x="10"/>
        <item x="11"/>
        <item x="12"/>
        <item x="13"/>
        <item x="18"/>
        <item x="19"/>
        <item x="17"/>
        <item x="16"/>
        <item x="21"/>
        <item x="20"/>
        <item x="22"/>
        <item x="23"/>
        <item x="14"/>
      </items>
    </pivotField>
    <pivotField axis="axisRow" compact="0" numFmtId="168" outline="0" showAll="0" defaultSubtotal="0">
      <items count="9">
        <item x="6"/>
        <item x="0"/>
        <item x="1"/>
        <item x="2"/>
        <item x="4"/>
        <item x="3"/>
        <item x="5"/>
        <item x="7"/>
        <item x="8"/>
      </items>
    </pivotField>
    <pivotField dataField="1" compact="0" numFmtId="1" outline="0" showAll="0" defaultSubtotal="0"/>
    <pivotField dataField="1" compact="0" outline="0" showAll="0" defaultSubtotal="0"/>
  </pivotFields>
  <rowFields count="4">
    <field x="1"/>
    <field x="0"/>
    <field x="5"/>
    <field x="6"/>
  </rowFields>
  <rowItems count="51">
    <i>
      <x/>
      <x/>
      <x v="2"/>
      <x v="1"/>
    </i>
    <i r="1">
      <x v="5"/>
      <x v="6"/>
      <x v="2"/>
    </i>
    <i r="1">
      <x v="10"/>
      <x v="8"/>
      <x v="3"/>
    </i>
    <i r="1">
      <x v="15"/>
      <x v="9"/>
      <x v="3"/>
    </i>
    <i r="1">
      <x v="20"/>
      <x v="14"/>
      <x v="5"/>
    </i>
    <i r="1">
      <x v="25"/>
      <x v="10"/>
      <x v="4"/>
    </i>
    <i r="1">
      <x v="30"/>
      <x v="8"/>
      <x v="4"/>
    </i>
    <i r="1">
      <x v="35"/>
      <x v="17"/>
      <x v="6"/>
    </i>
    <i r="1">
      <x v="40"/>
      <x v="21"/>
      <x/>
    </i>
    <i r="1">
      <x v="45"/>
      <x v="23"/>
      <x v="7"/>
    </i>
    <i>
      <x v="1"/>
      <x v="1"/>
      <x v="4"/>
      <x v="1"/>
    </i>
    <i r="1">
      <x v="6"/>
      <x v="4"/>
      <x v="2"/>
    </i>
    <i r="1">
      <x v="11"/>
      <x v="7"/>
      <x v="3"/>
    </i>
    <i r="1">
      <x v="16"/>
      <x v="9"/>
      <x v="5"/>
    </i>
    <i r="1">
      <x v="21"/>
      <x v="14"/>
      <x v="5"/>
    </i>
    <i r="1">
      <x v="26"/>
      <x v="10"/>
      <x v="4"/>
    </i>
    <i r="1">
      <x v="31"/>
      <x v="7"/>
      <x v="4"/>
    </i>
    <i r="1">
      <x v="36"/>
      <x v="15"/>
      <x v="6"/>
    </i>
    <i r="1">
      <x v="41"/>
      <x v="22"/>
      <x/>
    </i>
    <i r="1">
      <x v="46"/>
      <x v="23"/>
      <x v="7"/>
    </i>
    <i>
      <x v="2"/>
      <x v="2"/>
      <x/>
      <x v="1"/>
    </i>
    <i r="1">
      <x v="7"/>
      <x v="9"/>
      <x v="2"/>
    </i>
    <i r="1">
      <x v="12"/>
      <x v="7"/>
      <x v="3"/>
    </i>
    <i r="1">
      <x v="17"/>
      <x v="11"/>
      <x v="5"/>
    </i>
    <i r="1">
      <x v="22"/>
      <x v="23"/>
      <x v="5"/>
    </i>
    <i r="1">
      <x v="27"/>
      <x v="9"/>
      <x v="4"/>
    </i>
    <i r="1">
      <x v="32"/>
      <x v="18"/>
      <x v="6"/>
    </i>
    <i r="1">
      <x v="37"/>
      <x v="16"/>
      <x v="6"/>
    </i>
    <i r="1">
      <x v="42"/>
      <x v="22"/>
      <x/>
    </i>
    <i r="1">
      <x v="47"/>
      <x v="23"/>
      <x v="7"/>
    </i>
    <i>
      <x v="3"/>
      <x v="3"/>
      <x v="1"/>
      <x v="1"/>
    </i>
    <i r="1">
      <x v="8"/>
      <x v="5"/>
      <x v="3"/>
    </i>
    <i r="1">
      <x v="13"/>
      <x v="9"/>
      <x v="3"/>
    </i>
    <i r="1">
      <x v="18"/>
      <x v="12"/>
      <x v="5"/>
    </i>
    <i r="1">
      <x v="23"/>
      <x v="23"/>
      <x v="5"/>
    </i>
    <i r="1">
      <x v="28"/>
      <x v="5"/>
      <x v="4"/>
    </i>
    <i r="1">
      <x v="33"/>
      <x v="18"/>
      <x v="6"/>
    </i>
    <i r="1">
      <x v="38"/>
      <x v="20"/>
      <x/>
    </i>
    <i r="1">
      <x v="43"/>
      <x v="23"/>
      <x/>
    </i>
    <i r="1">
      <x v="48"/>
      <x v="23"/>
      <x v="7"/>
    </i>
    <i>
      <x v="4"/>
      <x v="4"/>
      <x v="3"/>
      <x v="2"/>
    </i>
    <i r="1">
      <x v="9"/>
      <x v="8"/>
      <x v="3"/>
    </i>
    <i r="1">
      <x v="14"/>
      <x v="9"/>
      <x v="3"/>
    </i>
    <i r="1">
      <x v="19"/>
      <x v="13"/>
      <x v="5"/>
    </i>
    <i r="1">
      <x v="24"/>
      <x v="10"/>
      <x v="5"/>
    </i>
    <i r="1">
      <x v="29"/>
      <x v="8"/>
      <x v="4"/>
    </i>
    <i r="1">
      <x v="34"/>
      <x v="17"/>
      <x v="6"/>
    </i>
    <i r="1">
      <x v="39"/>
      <x v="19"/>
      <x/>
    </i>
    <i r="1">
      <x v="44"/>
      <x v="23"/>
      <x/>
    </i>
    <i r="1">
      <x v="49"/>
      <x v="23"/>
      <x v="7"/>
    </i>
    <i>
      <x v="5"/>
      <x v="50"/>
      <x v="23"/>
      <x v="8"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um of Difference" fld="7" baseField="0" baseItem="0"/>
    <dataField name="Sum of Difference2" fld="8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1" firstHeaderRow="1" firstDataRow="1" firstDataCol="1"/>
  <pivotFields count="9">
    <pivotField showAll="0"/>
    <pivotField axis="axisRow" showAll="0">
      <items count="8">
        <item x="0"/>
        <item x="1"/>
        <item x="2"/>
        <item x="3"/>
        <item x="4"/>
        <item x="6"/>
        <item x="5"/>
        <item t="default"/>
      </items>
    </pivotField>
    <pivotField showAll="0"/>
    <pivotField showAll="0"/>
    <pivotField showAll="0"/>
    <pivotField showAll="0"/>
    <pivotField numFmtId="168" showAll="0"/>
    <pivotField numFmtId="1" showAll="0"/>
    <pivotField dataField="1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Difference2" fld="8" baseField="0" baseItem="0"/>
  </dataField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4"/>
  <sheetViews>
    <sheetView tabSelected="1" topLeftCell="B1" workbookViewId="0">
      <selection activeCell="C18" sqref="C18"/>
    </sheetView>
  </sheetViews>
  <sheetFormatPr defaultRowHeight="14.4" x14ac:dyDescent="0.3"/>
  <cols>
    <col min="1" max="1" width="12.5546875" bestFit="1" customWidth="1"/>
    <col min="2" max="2" width="17.33203125" customWidth="1"/>
    <col min="3" max="3" width="17.33203125" bestFit="1" customWidth="1"/>
    <col min="4" max="6" width="16.33203125" customWidth="1"/>
    <col min="7" max="7" width="10.77734375" customWidth="1"/>
    <col min="8" max="8" width="16.21875" customWidth="1"/>
    <col min="9" max="12" width="17.33203125" customWidth="1"/>
  </cols>
  <sheetData>
    <row r="1" spans="1:9" x14ac:dyDescent="0.3">
      <c r="D1" s="6" t="s">
        <v>2</v>
      </c>
      <c r="E1" t="s">
        <v>68</v>
      </c>
    </row>
    <row r="3" spans="1:9" x14ac:dyDescent="0.3">
      <c r="A3" s="6" t="s">
        <v>39</v>
      </c>
      <c r="B3" t="s">
        <v>42</v>
      </c>
      <c r="D3" s="6" t="s">
        <v>1</v>
      </c>
      <c r="E3" s="6" t="s">
        <v>0</v>
      </c>
      <c r="F3" s="6" t="s">
        <v>11</v>
      </c>
      <c r="G3" s="6" t="s">
        <v>35</v>
      </c>
      <c r="H3" t="s">
        <v>41</v>
      </c>
      <c r="I3" t="s">
        <v>42</v>
      </c>
    </row>
    <row r="4" spans="1:9" x14ac:dyDescent="0.3">
      <c r="A4" s="7">
        <v>1001</v>
      </c>
      <c r="B4" s="8">
        <v>387</v>
      </c>
      <c r="D4">
        <v>1001</v>
      </c>
      <c r="E4">
        <v>1</v>
      </c>
      <c r="F4" t="s">
        <v>54</v>
      </c>
      <c r="G4" s="3">
        <v>42451</v>
      </c>
      <c r="H4" s="8">
        <v>2</v>
      </c>
      <c r="I4" s="8">
        <v>2</v>
      </c>
    </row>
    <row r="5" spans="1:9" x14ac:dyDescent="0.3">
      <c r="A5" s="7">
        <v>1002</v>
      </c>
      <c r="B5" s="8">
        <v>341</v>
      </c>
      <c r="E5">
        <v>6</v>
      </c>
      <c r="F5" t="s">
        <v>46</v>
      </c>
      <c r="G5" s="3">
        <v>42465</v>
      </c>
      <c r="H5" s="8">
        <v>35</v>
      </c>
      <c r="I5" s="8">
        <v>35</v>
      </c>
    </row>
    <row r="6" spans="1:9" x14ac:dyDescent="0.3">
      <c r="A6" s="7">
        <v>1003</v>
      </c>
      <c r="B6" s="8">
        <v>488</v>
      </c>
      <c r="E6">
        <v>11</v>
      </c>
      <c r="F6" t="s">
        <v>48</v>
      </c>
      <c r="G6" s="3">
        <v>42500</v>
      </c>
      <c r="H6" s="8">
        <v>25</v>
      </c>
      <c r="I6" s="8">
        <v>25</v>
      </c>
    </row>
    <row r="7" spans="1:9" x14ac:dyDescent="0.3">
      <c r="A7" s="7">
        <v>1004</v>
      </c>
      <c r="B7" s="8">
        <v>692</v>
      </c>
      <c r="E7">
        <v>16</v>
      </c>
      <c r="F7" t="s">
        <v>47</v>
      </c>
      <c r="G7" s="3">
        <v>42500</v>
      </c>
      <c r="H7" s="8">
        <v>33</v>
      </c>
      <c r="I7" s="8">
        <v>33</v>
      </c>
    </row>
    <row r="8" spans="1:9" x14ac:dyDescent="0.3">
      <c r="A8" s="7">
        <v>1005</v>
      </c>
      <c r="B8" s="8">
        <v>579</v>
      </c>
      <c r="E8">
        <v>21</v>
      </c>
      <c r="F8" t="s">
        <v>64</v>
      </c>
      <c r="G8" s="3">
        <v>42557</v>
      </c>
      <c r="H8" s="8">
        <v>15</v>
      </c>
      <c r="I8" s="8">
        <v>15</v>
      </c>
    </row>
    <row r="9" spans="1:9" x14ac:dyDescent="0.3">
      <c r="A9" s="7" t="s">
        <v>43</v>
      </c>
      <c r="B9" s="8"/>
      <c r="E9">
        <v>26</v>
      </c>
      <c r="F9" t="s">
        <v>60</v>
      </c>
      <c r="G9" s="3">
        <v>42534</v>
      </c>
      <c r="H9" s="8">
        <v>12</v>
      </c>
      <c r="I9" s="8">
        <v>12</v>
      </c>
    </row>
    <row r="10" spans="1:9" x14ac:dyDescent="0.3">
      <c r="A10" s="7">
        <v>1006</v>
      </c>
      <c r="B10" s="8">
        <v>0</v>
      </c>
      <c r="E10">
        <v>31</v>
      </c>
      <c r="F10" t="s">
        <v>48</v>
      </c>
      <c r="G10" s="3">
        <v>42534</v>
      </c>
      <c r="H10" s="8">
        <v>1</v>
      </c>
      <c r="I10" s="8">
        <v>1</v>
      </c>
    </row>
    <row r="11" spans="1:9" x14ac:dyDescent="0.3">
      <c r="A11" s="7" t="s">
        <v>40</v>
      </c>
      <c r="B11" s="8">
        <v>2487</v>
      </c>
      <c r="E11">
        <v>36</v>
      </c>
      <c r="F11" t="s">
        <v>65</v>
      </c>
      <c r="G11" s="3">
        <v>42620</v>
      </c>
      <c r="H11" s="8">
        <v>12</v>
      </c>
      <c r="I11" s="8">
        <v>12</v>
      </c>
    </row>
    <row r="12" spans="1:9" x14ac:dyDescent="0.3">
      <c r="E12">
        <v>41</v>
      </c>
      <c r="F12" t="s">
        <v>52</v>
      </c>
      <c r="G12" s="3">
        <v>42349</v>
      </c>
      <c r="H12" s="8">
        <v>252</v>
      </c>
      <c r="I12" s="8">
        <v>252</v>
      </c>
    </row>
    <row r="13" spans="1:9" x14ac:dyDescent="0.3">
      <c r="E13">
        <v>46</v>
      </c>
      <c r="F13" s="1">
        <v>42708</v>
      </c>
      <c r="G13" s="3">
        <v>42779</v>
      </c>
      <c r="H13" s="8">
        <v>-50</v>
      </c>
      <c r="I13" s="8">
        <v>0</v>
      </c>
    </row>
    <row r="14" spans="1:9" x14ac:dyDescent="0.3">
      <c r="D14">
        <v>1002</v>
      </c>
      <c r="E14">
        <v>2</v>
      </c>
      <c r="F14" t="s">
        <v>45</v>
      </c>
      <c r="G14" s="3">
        <v>42451</v>
      </c>
      <c r="H14" s="8">
        <v>25</v>
      </c>
      <c r="I14" s="8">
        <v>25</v>
      </c>
    </row>
    <row r="15" spans="1:9" x14ac:dyDescent="0.3">
      <c r="E15">
        <v>7</v>
      </c>
      <c r="F15" t="s">
        <v>45</v>
      </c>
      <c r="G15" s="3">
        <v>42465</v>
      </c>
      <c r="H15" s="8">
        <v>15</v>
      </c>
      <c r="I15" s="8">
        <v>15</v>
      </c>
    </row>
    <row r="16" spans="1:9" x14ac:dyDescent="0.3">
      <c r="E16">
        <v>12</v>
      </c>
      <c r="F16" t="s">
        <v>59</v>
      </c>
      <c r="G16" s="3">
        <v>42500</v>
      </c>
      <c r="H16" s="8">
        <v>20</v>
      </c>
      <c r="I16" s="8">
        <v>20</v>
      </c>
    </row>
    <row r="17" spans="4:9" x14ac:dyDescent="0.3">
      <c r="E17">
        <v>17</v>
      </c>
      <c r="F17" t="s">
        <v>47</v>
      </c>
      <c r="G17" s="3">
        <v>42557</v>
      </c>
      <c r="H17" s="8">
        <v>-7</v>
      </c>
      <c r="I17" s="8">
        <v>0</v>
      </c>
    </row>
    <row r="18" spans="4:9" x14ac:dyDescent="0.3">
      <c r="E18">
        <v>22</v>
      </c>
      <c r="F18" t="s">
        <v>64</v>
      </c>
      <c r="G18" s="3">
        <v>42557</v>
      </c>
      <c r="H18" s="8">
        <v>15</v>
      </c>
      <c r="I18" s="8">
        <v>15</v>
      </c>
    </row>
    <row r="19" spans="4:9" x14ac:dyDescent="0.3">
      <c r="E19">
        <v>27</v>
      </c>
      <c r="F19" t="s">
        <v>60</v>
      </c>
      <c r="G19" s="3">
        <v>42534</v>
      </c>
      <c r="H19" s="8">
        <v>12</v>
      </c>
      <c r="I19" s="8">
        <v>12</v>
      </c>
    </row>
    <row r="20" spans="4:9" x14ac:dyDescent="0.3">
      <c r="E20">
        <v>32</v>
      </c>
      <c r="F20" t="s">
        <v>59</v>
      </c>
      <c r="G20" s="3">
        <v>42534</v>
      </c>
      <c r="H20" s="8">
        <v>-4</v>
      </c>
      <c r="I20" s="8">
        <v>0</v>
      </c>
    </row>
    <row r="21" spans="4:9" x14ac:dyDescent="0.3">
      <c r="E21">
        <v>37</v>
      </c>
      <c r="F21" t="s">
        <v>66</v>
      </c>
      <c r="G21" s="3">
        <v>42620</v>
      </c>
      <c r="H21" s="8">
        <v>-16</v>
      </c>
      <c r="I21" s="8">
        <v>0</v>
      </c>
    </row>
    <row r="22" spans="4:9" x14ac:dyDescent="0.3">
      <c r="E22">
        <v>42</v>
      </c>
      <c r="F22" t="s">
        <v>53</v>
      </c>
      <c r="G22" s="3">
        <v>42349</v>
      </c>
      <c r="H22" s="8">
        <v>254</v>
      </c>
      <c r="I22" s="8">
        <v>254</v>
      </c>
    </row>
    <row r="23" spans="4:9" x14ac:dyDescent="0.3">
      <c r="E23">
        <v>47</v>
      </c>
      <c r="F23" s="1">
        <v>42708</v>
      </c>
      <c r="G23" s="3">
        <v>42779</v>
      </c>
      <c r="H23" s="8">
        <v>-50</v>
      </c>
      <c r="I23" s="8">
        <v>0</v>
      </c>
    </row>
    <row r="24" spans="4:9" x14ac:dyDescent="0.3">
      <c r="D24">
        <v>1003</v>
      </c>
      <c r="E24">
        <v>3</v>
      </c>
      <c r="F24" t="s">
        <v>55</v>
      </c>
      <c r="G24" s="3">
        <v>42451</v>
      </c>
      <c r="H24" s="8">
        <v>-18</v>
      </c>
      <c r="I24" s="8">
        <v>0</v>
      </c>
    </row>
    <row r="25" spans="4:9" x14ac:dyDescent="0.3">
      <c r="E25">
        <v>8</v>
      </c>
      <c r="F25" t="s">
        <v>47</v>
      </c>
      <c r="G25" s="3">
        <v>42465</v>
      </c>
      <c r="H25" s="8">
        <v>58</v>
      </c>
      <c r="I25" s="8">
        <v>58</v>
      </c>
    </row>
    <row r="26" spans="4:9" x14ac:dyDescent="0.3">
      <c r="E26">
        <v>13</v>
      </c>
      <c r="F26" t="s">
        <v>59</v>
      </c>
      <c r="G26" s="3">
        <v>42500</v>
      </c>
      <c r="H26" s="8">
        <v>20</v>
      </c>
      <c r="I26" s="8">
        <v>20</v>
      </c>
    </row>
    <row r="27" spans="4:9" x14ac:dyDescent="0.3">
      <c r="E27">
        <v>18</v>
      </c>
      <c r="F27" t="s">
        <v>61</v>
      </c>
      <c r="G27" s="3">
        <v>42557</v>
      </c>
      <c r="H27" s="8">
        <v>7</v>
      </c>
      <c r="I27" s="8">
        <v>7</v>
      </c>
    </row>
    <row r="28" spans="4:9" x14ac:dyDescent="0.3">
      <c r="E28">
        <v>23</v>
      </c>
      <c r="F28" s="1">
        <v>42708</v>
      </c>
      <c r="G28" s="3">
        <v>42557</v>
      </c>
      <c r="H28" s="8">
        <v>107</v>
      </c>
      <c r="I28" s="8">
        <v>107</v>
      </c>
    </row>
    <row r="29" spans="4:9" x14ac:dyDescent="0.3">
      <c r="E29">
        <v>28</v>
      </c>
      <c r="F29" t="s">
        <v>47</v>
      </c>
      <c r="G29" s="3">
        <v>42534</v>
      </c>
      <c r="H29" s="8">
        <v>9</v>
      </c>
      <c r="I29" s="8">
        <v>9</v>
      </c>
    </row>
    <row r="30" spans="4:9" x14ac:dyDescent="0.3">
      <c r="E30">
        <v>33</v>
      </c>
      <c r="F30" t="s">
        <v>49</v>
      </c>
      <c r="G30" s="3">
        <v>42620</v>
      </c>
      <c r="H30" s="8">
        <v>33</v>
      </c>
      <c r="I30" s="8">
        <v>33</v>
      </c>
    </row>
    <row r="31" spans="4:9" x14ac:dyDescent="0.3">
      <c r="E31">
        <v>38</v>
      </c>
      <c r="F31" t="s">
        <v>67</v>
      </c>
      <c r="G31" s="3">
        <v>42620</v>
      </c>
      <c r="H31" s="8">
        <v>-10</v>
      </c>
      <c r="I31" s="8">
        <v>0</v>
      </c>
    </row>
    <row r="32" spans="4:9" x14ac:dyDescent="0.3">
      <c r="E32">
        <v>43</v>
      </c>
      <c r="F32" t="s">
        <v>53</v>
      </c>
      <c r="G32" s="3">
        <v>42349</v>
      </c>
      <c r="H32" s="8">
        <v>254</v>
      </c>
      <c r="I32" s="8">
        <v>254</v>
      </c>
    </row>
    <row r="33" spans="4:9" x14ac:dyDescent="0.3">
      <c r="E33">
        <v>48</v>
      </c>
      <c r="F33" s="1">
        <v>42708</v>
      </c>
      <c r="G33" s="3">
        <v>42779</v>
      </c>
      <c r="H33" s="8">
        <v>-50</v>
      </c>
      <c r="I33" s="8">
        <v>0</v>
      </c>
    </row>
    <row r="34" spans="4:9" x14ac:dyDescent="0.3">
      <c r="D34">
        <v>1004</v>
      </c>
      <c r="E34">
        <v>4</v>
      </c>
      <c r="F34" t="s">
        <v>56</v>
      </c>
      <c r="G34" s="3">
        <v>42451</v>
      </c>
      <c r="H34" s="8">
        <v>0</v>
      </c>
      <c r="I34" s="8">
        <v>0</v>
      </c>
    </row>
    <row r="35" spans="4:9" x14ac:dyDescent="0.3">
      <c r="E35">
        <v>9</v>
      </c>
      <c r="F35" t="s">
        <v>58</v>
      </c>
      <c r="G35" s="3">
        <v>42500</v>
      </c>
      <c r="H35" s="8">
        <v>8</v>
      </c>
      <c r="I35" s="8">
        <v>8</v>
      </c>
    </row>
    <row r="36" spans="4:9" x14ac:dyDescent="0.3">
      <c r="E36">
        <v>14</v>
      </c>
      <c r="F36" t="s">
        <v>47</v>
      </c>
      <c r="G36" s="3">
        <v>42500</v>
      </c>
      <c r="H36" s="8">
        <v>33</v>
      </c>
      <c r="I36" s="8">
        <v>33</v>
      </c>
    </row>
    <row r="37" spans="4:9" x14ac:dyDescent="0.3">
      <c r="E37">
        <v>19</v>
      </c>
      <c r="F37" t="s">
        <v>62</v>
      </c>
      <c r="G37" s="3">
        <v>42557</v>
      </c>
      <c r="H37" s="8">
        <v>8</v>
      </c>
      <c r="I37" s="8">
        <v>8</v>
      </c>
    </row>
    <row r="38" spans="4:9" x14ac:dyDescent="0.3">
      <c r="E38">
        <v>24</v>
      </c>
      <c r="F38" s="1">
        <v>42708</v>
      </c>
      <c r="G38" s="3">
        <v>42557</v>
      </c>
      <c r="H38" s="8">
        <v>107</v>
      </c>
      <c r="I38" s="8">
        <v>107</v>
      </c>
    </row>
    <row r="39" spans="4:9" x14ac:dyDescent="0.3">
      <c r="E39">
        <v>29</v>
      </c>
      <c r="F39" t="s">
        <v>58</v>
      </c>
      <c r="G39" s="3">
        <v>42534</v>
      </c>
      <c r="H39" s="8">
        <v>-15</v>
      </c>
      <c r="I39" s="8">
        <v>0</v>
      </c>
    </row>
    <row r="40" spans="4:9" x14ac:dyDescent="0.3">
      <c r="E40">
        <v>34</v>
      </c>
      <c r="F40" t="s">
        <v>49</v>
      </c>
      <c r="G40" s="3">
        <v>42620</v>
      </c>
      <c r="H40" s="8">
        <v>33</v>
      </c>
      <c r="I40" s="8">
        <v>33</v>
      </c>
    </row>
    <row r="41" spans="4:9" x14ac:dyDescent="0.3">
      <c r="E41">
        <v>39</v>
      </c>
      <c r="F41" t="s">
        <v>50</v>
      </c>
      <c r="G41" s="3">
        <v>42349</v>
      </c>
      <c r="H41" s="8">
        <v>248</v>
      </c>
      <c r="I41" s="8">
        <v>248</v>
      </c>
    </row>
    <row r="42" spans="4:9" x14ac:dyDescent="0.3">
      <c r="E42">
        <v>44</v>
      </c>
      <c r="F42" s="1">
        <v>42708</v>
      </c>
      <c r="G42" s="3">
        <v>42349</v>
      </c>
      <c r="H42" s="8">
        <v>255</v>
      </c>
      <c r="I42" s="8">
        <v>255</v>
      </c>
    </row>
    <row r="43" spans="4:9" x14ac:dyDescent="0.3">
      <c r="E43">
        <v>49</v>
      </c>
      <c r="F43" s="1">
        <v>42708</v>
      </c>
      <c r="G43" s="3">
        <v>42779</v>
      </c>
      <c r="H43" s="8">
        <v>-50</v>
      </c>
      <c r="I43" s="8">
        <v>0</v>
      </c>
    </row>
    <row r="44" spans="4:9" x14ac:dyDescent="0.3">
      <c r="D44">
        <v>1005</v>
      </c>
      <c r="E44">
        <v>5</v>
      </c>
      <c r="F44" t="s">
        <v>57</v>
      </c>
      <c r="G44" s="3">
        <v>42465</v>
      </c>
      <c r="H44" s="8">
        <v>-7</v>
      </c>
      <c r="I44" s="8">
        <v>0</v>
      </c>
    </row>
    <row r="45" spans="4:9" x14ac:dyDescent="0.3">
      <c r="E45">
        <v>10</v>
      </c>
      <c r="F45" t="s">
        <v>48</v>
      </c>
      <c r="G45" s="3">
        <v>42500</v>
      </c>
      <c r="H45" s="8">
        <v>25</v>
      </c>
      <c r="I45" s="8">
        <v>25</v>
      </c>
    </row>
    <row r="46" spans="4:9" x14ac:dyDescent="0.3">
      <c r="E46">
        <v>15</v>
      </c>
      <c r="F46" t="s">
        <v>47</v>
      </c>
      <c r="G46" s="3">
        <v>42500</v>
      </c>
      <c r="H46" s="8">
        <v>33</v>
      </c>
      <c r="I46" s="8">
        <v>33</v>
      </c>
    </row>
    <row r="47" spans="4:9" x14ac:dyDescent="0.3">
      <c r="E47">
        <v>20</v>
      </c>
      <c r="F47" t="s">
        <v>63</v>
      </c>
      <c r="G47" s="3">
        <v>42557</v>
      </c>
      <c r="H47" s="8">
        <v>10</v>
      </c>
      <c r="I47" s="8">
        <v>10</v>
      </c>
    </row>
    <row r="48" spans="4:9" x14ac:dyDescent="0.3">
      <c r="E48">
        <v>25</v>
      </c>
      <c r="F48" t="s">
        <v>60</v>
      </c>
      <c r="G48" s="3">
        <v>42557</v>
      </c>
      <c r="H48" s="8">
        <v>-5</v>
      </c>
      <c r="I48" s="8">
        <v>0</v>
      </c>
    </row>
    <row r="49" spans="4:9" x14ac:dyDescent="0.3">
      <c r="E49">
        <v>30</v>
      </c>
      <c r="F49" t="s">
        <v>48</v>
      </c>
      <c r="G49" s="3">
        <v>42534</v>
      </c>
      <c r="H49" s="8">
        <v>1</v>
      </c>
      <c r="I49" s="8">
        <v>1</v>
      </c>
    </row>
    <row r="50" spans="4:9" x14ac:dyDescent="0.3">
      <c r="E50">
        <v>35</v>
      </c>
      <c r="F50" t="s">
        <v>65</v>
      </c>
      <c r="G50" s="3">
        <v>42620</v>
      </c>
      <c r="H50" s="8">
        <v>12</v>
      </c>
      <c r="I50" s="8">
        <v>12</v>
      </c>
    </row>
    <row r="51" spans="4:9" x14ac:dyDescent="0.3">
      <c r="E51">
        <v>40</v>
      </c>
      <c r="F51" t="s">
        <v>51</v>
      </c>
      <c r="G51" s="3">
        <v>42349</v>
      </c>
      <c r="H51" s="8">
        <v>243</v>
      </c>
      <c r="I51" s="8">
        <v>243</v>
      </c>
    </row>
    <row r="52" spans="4:9" x14ac:dyDescent="0.3">
      <c r="E52">
        <v>45</v>
      </c>
      <c r="F52" s="1">
        <v>42708</v>
      </c>
      <c r="G52" s="3">
        <v>42349</v>
      </c>
      <c r="H52" s="8">
        <v>255</v>
      </c>
      <c r="I52" s="8">
        <v>255</v>
      </c>
    </row>
    <row r="53" spans="4:9" x14ac:dyDescent="0.3">
      <c r="E53">
        <v>50</v>
      </c>
      <c r="F53" s="1">
        <v>42708</v>
      </c>
      <c r="G53" s="3">
        <v>42779</v>
      </c>
      <c r="H53" s="8">
        <v>-50</v>
      </c>
      <c r="I53" s="8">
        <v>0</v>
      </c>
    </row>
    <row r="54" spans="4:9" x14ac:dyDescent="0.3">
      <c r="D54">
        <v>1006</v>
      </c>
      <c r="E54">
        <v>51</v>
      </c>
      <c r="F54" s="1">
        <v>42708</v>
      </c>
      <c r="G54" s="3">
        <v>42780</v>
      </c>
      <c r="H54" s="8">
        <v>-51</v>
      </c>
      <c r="I54" s="8">
        <v>0</v>
      </c>
    </row>
  </sheetData>
  <conditionalFormatting pivot="1" sqref="B4:B8">
    <cfRule type="cellIs" dxfId="1" priority="2" operator="greaterThan">
      <formula>40</formula>
    </cfRule>
  </conditionalFormatting>
  <conditionalFormatting pivot="1" sqref="H4:H54">
    <cfRule type="cellIs" dxfId="0" priority="1" operator="greaterThan">
      <formula>20</formula>
    </cfRule>
  </conditionalFormatting>
  <pageMargins left="0.7" right="0.7" top="0.75" bottom="0.75" header="0.3" footer="0.3"/>
  <pageSetup paperSize="9" orientation="portrait" horizontalDpi="300" verticalDpi="300" r:id="rId3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K12" sqref="K12"/>
    </sheetView>
  </sheetViews>
  <sheetFormatPr defaultRowHeight="14.4" x14ac:dyDescent="0.3"/>
  <cols>
    <col min="1" max="1" width="13.88671875" style="10" customWidth="1"/>
    <col min="2" max="2" width="14.88671875" style="10" customWidth="1"/>
    <col min="3" max="4" width="20.33203125" style="10" customWidth="1"/>
    <col min="5" max="6" width="10.5546875" hidden="1" customWidth="1"/>
    <col min="7" max="7" width="14" hidden="1" customWidth="1"/>
    <col min="8" max="8" width="8.88671875" hidden="1" customWidth="1"/>
    <col min="9" max="9" width="8.88671875" customWidth="1"/>
  </cols>
  <sheetData>
    <row r="1" spans="1:8" x14ac:dyDescent="0.3">
      <c r="A1" s="9" t="s">
        <v>0</v>
      </c>
      <c r="B1" s="9" t="s">
        <v>1</v>
      </c>
      <c r="C1" s="9" t="s">
        <v>36</v>
      </c>
      <c r="D1" s="9" t="s">
        <v>37</v>
      </c>
      <c r="E1" s="4" t="s">
        <v>2</v>
      </c>
      <c r="F1" s="5" t="s">
        <v>11</v>
      </c>
      <c r="G1" s="4" t="s">
        <v>35</v>
      </c>
      <c r="H1" s="4" t="s">
        <v>38</v>
      </c>
    </row>
    <row r="2" spans="1:8" x14ac:dyDescent="0.3">
      <c r="A2" s="10">
        <v>1</v>
      </c>
      <c r="B2" s="10">
        <v>1001</v>
      </c>
      <c r="C2" s="10" t="s">
        <v>3</v>
      </c>
      <c r="D2" s="10" t="s">
        <v>12</v>
      </c>
      <c r="E2" s="1">
        <f>DATEVALUE(SUBSTITUTE(LEFT(C2,10), ".", "/"))</f>
        <v>42395</v>
      </c>
      <c r="F2" s="1">
        <f ca="1">IFERROR(DATEVALUE(SUBSTITUTE(LEFT(D2,10),".","/")),TODAY())</f>
        <v>42453</v>
      </c>
      <c r="G2" s="2">
        <f t="shared" ref="G2:G51" si="0">WORKDAY(E2,40)</f>
        <v>42451</v>
      </c>
      <c r="H2">
        <f ca="1">IF(F2&gt;G2, NETWORKDAYS(G2,F2)-1,0)</f>
        <v>2</v>
      </c>
    </row>
    <row r="3" spans="1:8" x14ac:dyDescent="0.3">
      <c r="A3" s="10">
        <v>2</v>
      </c>
      <c r="B3" s="10">
        <v>1002</v>
      </c>
      <c r="C3" s="10" t="s">
        <v>3</v>
      </c>
      <c r="D3" s="10" t="s">
        <v>14</v>
      </c>
      <c r="E3" s="1">
        <f t="shared" ref="E3:E52" si="1">DATEVALUE(SUBSTITUTE(LEFT(C3,10), ".", "/"))</f>
        <v>42395</v>
      </c>
      <c r="F3" s="1">
        <f t="shared" ref="F3:F52" ca="1" si="2">IFERROR(DATEVALUE(SUBSTITUTE(LEFT(D3,10),".","/")),TODAY())</f>
        <v>42486</v>
      </c>
      <c r="G3" s="2">
        <f t="shared" ref="G3:G52" si="3">WORKDAY(E3,40)</f>
        <v>42451</v>
      </c>
      <c r="H3">
        <f t="shared" ref="H3:H52" ca="1" si="4">IF(F3&gt;G3, NETWORKDAYS(G3,F3)-1,0)</f>
        <v>25</v>
      </c>
    </row>
    <row r="4" spans="1:8" x14ac:dyDescent="0.3">
      <c r="A4" s="10">
        <v>3</v>
      </c>
      <c r="B4" s="10">
        <v>1003</v>
      </c>
      <c r="C4" s="10" t="s">
        <v>3</v>
      </c>
      <c r="D4" s="10" t="s">
        <v>13</v>
      </c>
      <c r="E4" s="1">
        <f t="shared" si="1"/>
        <v>42395</v>
      </c>
      <c r="F4" s="1">
        <f t="shared" ca="1" si="2"/>
        <v>42425</v>
      </c>
      <c r="G4" s="2">
        <f t="shared" si="3"/>
        <v>42451</v>
      </c>
      <c r="H4">
        <f t="shared" ca="1" si="4"/>
        <v>0</v>
      </c>
    </row>
    <row r="5" spans="1:8" x14ac:dyDescent="0.3">
      <c r="A5" s="10">
        <v>4</v>
      </c>
      <c r="B5" s="10">
        <v>1004</v>
      </c>
      <c r="C5" s="10" t="s">
        <v>3</v>
      </c>
      <c r="D5" s="10" t="s">
        <v>15</v>
      </c>
      <c r="E5" s="1">
        <f t="shared" si="1"/>
        <v>42395</v>
      </c>
      <c r="F5" s="1">
        <f t="shared" ca="1" si="2"/>
        <v>42451</v>
      </c>
      <c r="G5" s="2">
        <f t="shared" si="3"/>
        <v>42451</v>
      </c>
      <c r="H5">
        <f t="shared" ca="1" si="4"/>
        <v>0</v>
      </c>
    </row>
    <row r="6" spans="1:8" x14ac:dyDescent="0.3">
      <c r="A6" s="10">
        <v>5</v>
      </c>
      <c r="B6" s="10">
        <v>1005</v>
      </c>
      <c r="C6" s="10" t="s">
        <v>4</v>
      </c>
      <c r="D6" s="10" t="s">
        <v>16</v>
      </c>
      <c r="E6" s="1">
        <f t="shared" si="1"/>
        <v>42409</v>
      </c>
      <c r="F6" s="1">
        <f t="shared" ca="1" si="2"/>
        <v>42454</v>
      </c>
      <c r="G6" s="2">
        <f t="shared" si="3"/>
        <v>42465</v>
      </c>
      <c r="H6">
        <f t="shared" ca="1" si="4"/>
        <v>0</v>
      </c>
    </row>
    <row r="7" spans="1:8" x14ac:dyDescent="0.3">
      <c r="A7" s="10">
        <v>6</v>
      </c>
      <c r="B7" s="10">
        <v>1001</v>
      </c>
      <c r="C7" s="10" t="s">
        <v>4</v>
      </c>
      <c r="D7" s="10" t="s">
        <v>17</v>
      </c>
      <c r="E7" s="1">
        <f t="shared" si="1"/>
        <v>42409</v>
      </c>
      <c r="F7" s="1">
        <f t="shared" ca="1" si="2"/>
        <v>42514</v>
      </c>
      <c r="G7" s="2">
        <f t="shared" si="3"/>
        <v>42465</v>
      </c>
      <c r="H7">
        <f t="shared" ca="1" si="4"/>
        <v>35</v>
      </c>
    </row>
    <row r="8" spans="1:8" x14ac:dyDescent="0.3">
      <c r="A8" s="10">
        <v>7</v>
      </c>
      <c r="B8" s="10">
        <v>1002</v>
      </c>
      <c r="C8" s="10" t="s">
        <v>4</v>
      </c>
      <c r="D8" s="10" t="s">
        <v>14</v>
      </c>
      <c r="E8" s="1">
        <f t="shared" si="1"/>
        <v>42409</v>
      </c>
      <c r="F8" s="1">
        <f t="shared" ca="1" si="2"/>
        <v>42486</v>
      </c>
      <c r="G8" s="2">
        <f t="shared" si="3"/>
        <v>42465</v>
      </c>
      <c r="H8">
        <f t="shared" ca="1" si="4"/>
        <v>15</v>
      </c>
    </row>
    <row r="9" spans="1:8" x14ac:dyDescent="0.3">
      <c r="A9" s="10">
        <v>8</v>
      </c>
      <c r="B9" s="10">
        <v>1003</v>
      </c>
      <c r="C9" s="10" t="s">
        <v>4</v>
      </c>
      <c r="D9" s="10" t="s">
        <v>18</v>
      </c>
      <c r="E9" s="1">
        <f t="shared" si="1"/>
        <v>42409</v>
      </c>
      <c r="F9" s="1">
        <f t="shared" ca="1" si="2"/>
        <v>42546</v>
      </c>
      <c r="G9" s="2">
        <f t="shared" si="3"/>
        <v>42465</v>
      </c>
      <c r="H9">
        <f t="shared" ca="1" si="4"/>
        <v>58</v>
      </c>
    </row>
    <row r="10" spans="1:8" x14ac:dyDescent="0.3">
      <c r="A10" s="10">
        <v>9</v>
      </c>
      <c r="B10" s="10">
        <v>1004</v>
      </c>
      <c r="C10" s="10" t="s">
        <v>5</v>
      </c>
      <c r="D10" s="10" t="s">
        <v>19</v>
      </c>
      <c r="E10" s="1">
        <f t="shared" si="1"/>
        <v>42444</v>
      </c>
      <c r="F10" s="1">
        <f t="shared" ca="1" si="2"/>
        <v>42512</v>
      </c>
      <c r="G10" s="2">
        <f t="shared" si="3"/>
        <v>42500</v>
      </c>
      <c r="H10">
        <f t="shared" ca="1" si="4"/>
        <v>8</v>
      </c>
    </row>
    <row r="11" spans="1:8" x14ac:dyDescent="0.3">
      <c r="A11" s="10">
        <v>10</v>
      </c>
      <c r="B11" s="10">
        <v>1005</v>
      </c>
      <c r="C11" s="10" t="s">
        <v>5</v>
      </c>
      <c r="D11" s="10" t="s">
        <v>20</v>
      </c>
      <c r="E11" s="1">
        <f t="shared" si="1"/>
        <v>42444</v>
      </c>
      <c r="F11" s="1">
        <f t="shared" ca="1" si="2"/>
        <v>42535</v>
      </c>
      <c r="G11" s="2">
        <f t="shared" si="3"/>
        <v>42500</v>
      </c>
      <c r="H11">
        <f t="shared" ca="1" si="4"/>
        <v>25</v>
      </c>
    </row>
    <row r="12" spans="1:8" x14ac:dyDescent="0.3">
      <c r="A12" s="10">
        <v>11</v>
      </c>
      <c r="B12" s="10">
        <v>1001</v>
      </c>
      <c r="C12" s="10" t="s">
        <v>5</v>
      </c>
      <c r="D12" s="10" t="s">
        <v>20</v>
      </c>
      <c r="E12" s="1">
        <f t="shared" si="1"/>
        <v>42444</v>
      </c>
      <c r="F12" s="1">
        <f t="shared" ca="1" si="2"/>
        <v>42535</v>
      </c>
      <c r="G12" s="2">
        <f t="shared" si="3"/>
        <v>42500</v>
      </c>
      <c r="H12">
        <f t="shared" ca="1" si="4"/>
        <v>25</v>
      </c>
    </row>
    <row r="13" spans="1:8" x14ac:dyDescent="0.3">
      <c r="A13" s="10">
        <v>12</v>
      </c>
      <c r="B13" s="10">
        <v>1002</v>
      </c>
      <c r="C13" s="10" t="s">
        <v>5</v>
      </c>
      <c r="D13" s="10" t="s">
        <v>21</v>
      </c>
      <c r="E13" s="1">
        <f t="shared" si="1"/>
        <v>42444</v>
      </c>
      <c r="F13" s="1">
        <f t="shared" ca="1" si="2"/>
        <v>42528</v>
      </c>
      <c r="G13" s="2">
        <f t="shared" si="3"/>
        <v>42500</v>
      </c>
      <c r="H13">
        <f t="shared" ca="1" si="4"/>
        <v>20</v>
      </c>
    </row>
    <row r="14" spans="1:8" x14ac:dyDescent="0.3">
      <c r="A14" s="10">
        <v>13</v>
      </c>
      <c r="B14" s="10">
        <v>1003</v>
      </c>
      <c r="C14" s="10" t="s">
        <v>5</v>
      </c>
      <c r="D14" s="10" t="s">
        <v>21</v>
      </c>
      <c r="E14" s="1">
        <f t="shared" si="1"/>
        <v>42444</v>
      </c>
      <c r="F14" s="1">
        <f t="shared" ca="1" si="2"/>
        <v>42528</v>
      </c>
      <c r="G14" s="2">
        <f t="shared" si="3"/>
        <v>42500</v>
      </c>
      <c r="H14">
        <f t="shared" ca="1" si="4"/>
        <v>20</v>
      </c>
    </row>
    <row r="15" spans="1:8" x14ac:dyDescent="0.3">
      <c r="A15" s="10">
        <v>14</v>
      </c>
      <c r="B15" s="10">
        <v>1004</v>
      </c>
      <c r="C15" s="10" t="s">
        <v>5</v>
      </c>
      <c r="D15" s="10" t="s">
        <v>18</v>
      </c>
      <c r="E15" s="1">
        <f t="shared" si="1"/>
        <v>42444</v>
      </c>
      <c r="F15" s="1">
        <f t="shared" ca="1" si="2"/>
        <v>42546</v>
      </c>
      <c r="G15" s="2">
        <f t="shared" si="3"/>
        <v>42500</v>
      </c>
      <c r="H15">
        <f t="shared" ca="1" si="4"/>
        <v>33</v>
      </c>
    </row>
    <row r="16" spans="1:8" x14ac:dyDescent="0.3">
      <c r="A16" s="10">
        <v>15</v>
      </c>
      <c r="B16" s="10">
        <v>1005</v>
      </c>
      <c r="C16" s="10" t="s">
        <v>5</v>
      </c>
      <c r="D16" s="10" t="s">
        <v>18</v>
      </c>
      <c r="E16" s="1">
        <f t="shared" si="1"/>
        <v>42444</v>
      </c>
      <c r="F16" s="1">
        <f t="shared" ca="1" si="2"/>
        <v>42546</v>
      </c>
      <c r="G16" s="2">
        <f t="shared" si="3"/>
        <v>42500</v>
      </c>
      <c r="H16">
        <f t="shared" ca="1" si="4"/>
        <v>33</v>
      </c>
    </row>
    <row r="17" spans="1:8" x14ac:dyDescent="0.3">
      <c r="A17" s="10">
        <v>16</v>
      </c>
      <c r="B17" s="10">
        <v>1001</v>
      </c>
      <c r="C17" s="10" t="s">
        <v>5</v>
      </c>
      <c r="D17" s="10" t="s">
        <v>18</v>
      </c>
      <c r="E17" s="1">
        <f t="shared" si="1"/>
        <v>42444</v>
      </c>
      <c r="F17" s="1">
        <f t="shared" ca="1" si="2"/>
        <v>42546</v>
      </c>
      <c r="G17" s="2">
        <f t="shared" si="3"/>
        <v>42500</v>
      </c>
      <c r="H17">
        <f t="shared" ca="1" si="4"/>
        <v>33</v>
      </c>
    </row>
    <row r="18" spans="1:8" x14ac:dyDescent="0.3">
      <c r="A18" s="10">
        <v>17</v>
      </c>
      <c r="B18" s="10">
        <v>1002</v>
      </c>
      <c r="C18" s="10" t="s">
        <v>6</v>
      </c>
      <c r="D18" s="10" t="s">
        <v>18</v>
      </c>
      <c r="E18" s="1">
        <f t="shared" si="1"/>
        <v>42501</v>
      </c>
      <c r="F18" s="1">
        <f t="shared" ca="1" si="2"/>
        <v>42546</v>
      </c>
      <c r="G18" s="2">
        <f t="shared" si="3"/>
        <v>42557</v>
      </c>
      <c r="H18">
        <f t="shared" ca="1" si="4"/>
        <v>0</v>
      </c>
    </row>
    <row r="19" spans="1:8" x14ac:dyDescent="0.3">
      <c r="A19" s="10">
        <v>18</v>
      </c>
      <c r="B19" s="10">
        <v>1003</v>
      </c>
      <c r="C19" s="10" t="s">
        <v>6</v>
      </c>
      <c r="D19" s="10" t="s">
        <v>22</v>
      </c>
      <c r="E19" s="1">
        <f t="shared" si="1"/>
        <v>42501</v>
      </c>
      <c r="F19" s="1">
        <f t="shared" ca="1" si="2"/>
        <v>42566</v>
      </c>
      <c r="G19" s="2">
        <f t="shared" si="3"/>
        <v>42557</v>
      </c>
      <c r="H19">
        <f t="shared" ca="1" si="4"/>
        <v>7</v>
      </c>
    </row>
    <row r="20" spans="1:8" x14ac:dyDescent="0.3">
      <c r="A20" s="10">
        <v>19</v>
      </c>
      <c r="B20" s="10">
        <v>1004</v>
      </c>
      <c r="C20" s="10" t="s">
        <v>6</v>
      </c>
      <c r="D20" s="10" t="s">
        <v>23</v>
      </c>
      <c r="E20" s="1">
        <f t="shared" si="1"/>
        <v>42501</v>
      </c>
      <c r="F20" s="1">
        <f t="shared" ca="1" si="2"/>
        <v>42569</v>
      </c>
      <c r="G20" s="2">
        <f t="shared" si="3"/>
        <v>42557</v>
      </c>
      <c r="H20">
        <f t="shared" ca="1" si="4"/>
        <v>8</v>
      </c>
    </row>
    <row r="21" spans="1:8" x14ac:dyDescent="0.3">
      <c r="A21" s="10">
        <v>20</v>
      </c>
      <c r="B21" s="10">
        <v>1005</v>
      </c>
      <c r="C21" s="10" t="s">
        <v>6</v>
      </c>
      <c r="D21" s="10" t="s">
        <v>24</v>
      </c>
      <c r="E21" s="1">
        <f t="shared" si="1"/>
        <v>42501</v>
      </c>
      <c r="F21" s="1">
        <f t="shared" ca="1" si="2"/>
        <v>42571</v>
      </c>
      <c r="G21" s="2">
        <f t="shared" si="3"/>
        <v>42557</v>
      </c>
      <c r="H21">
        <f t="shared" ca="1" si="4"/>
        <v>10</v>
      </c>
    </row>
    <row r="22" spans="1:8" x14ac:dyDescent="0.3">
      <c r="A22" s="10">
        <v>21</v>
      </c>
      <c r="B22" s="10">
        <v>1001</v>
      </c>
      <c r="C22" s="10" t="s">
        <v>6</v>
      </c>
      <c r="D22" s="10" t="s">
        <v>25</v>
      </c>
      <c r="E22" s="1">
        <f t="shared" si="1"/>
        <v>42501</v>
      </c>
      <c r="F22" s="1">
        <f t="shared" ca="1" si="2"/>
        <v>42578</v>
      </c>
      <c r="G22" s="2">
        <f t="shared" si="3"/>
        <v>42557</v>
      </c>
      <c r="H22">
        <f t="shared" ca="1" si="4"/>
        <v>15</v>
      </c>
    </row>
    <row r="23" spans="1:8" x14ac:dyDescent="0.3">
      <c r="A23" s="10">
        <v>22</v>
      </c>
      <c r="B23" s="10">
        <v>1002</v>
      </c>
      <c r="C23" s="10" t="s">
        <v>6</v>
      </c>
      <c r="D23" s="10" t="s">
        <v>25</v>
      </c>
      <c r="E23" s="1">
        <f t="shared" si="1"/>
        <v>42501</v>
      </c>
      <c r="F23" s="1">
        <f t="shared" ca="1" si="2"/>
        <v>42578</v>
      </c>
      <c r="G23" s="2">
        <f t="shared" si="3"/>
        <v>42557</v>
      </c>
      <c r="H23">
        <f t="shared" ca="1" si="4"/>
        <v>15</v>
      </c>
    </row>
    <row r="24" spans="1:8" x14ac:dyDescent="0.3">
      <c r="A24" s="10">
        <v>23</v>
      </c>
      <c r="B24" s="10">
        <v>1003</v>
      </c>
      <c r="C24" s="10" t="s">
        <v>6</v>
      </c>
      <c r="E24" s="1">
        <f t="shared" si="1"/>
        <v>42501</v>
      </c>
      <c r="F24" s="1">
        <f t="shared" ca="1" si="2"/>
        <v>42708</v>
      </c>
      <c r="G24" s="2">
        <f t="shared" si="3"/>
        <v>42557</v>
      </c>
      <c r="H24">
        <f t="shared" ca="1" si="4"/>
        <v>107</v>
      </c>
    </row>
    <row r="25" spans="1:8" x14ac:dyDescent="0.3">
      <c r="A25" s="10">
        <v>24</v>
      </c>
      <c r="B25" s="10">
        <v>1004</v>
      </c>
      <c r="C25" s="10" t="s">
        <v>6</v>
      </c>
      <c r="E25" s="1">
        <f t="shared" si="1"/>
        <v>42501</v>
      </c>
      <c r="F25" s="1">
        <f t="shared" ca="1" si="2"/>
        <v>42708</v>
      </c>
      <c r="G25" s="2">
        <f t="shared" si="3"/>
        <v>42557</v>
      </c>
      <c r="H25">
        <f t="shared" ca="1" si="4"/>
        <v>107</v>
      </c>
    </row>
    <row r="26" spans="1:8" x14ac:dyDescent="0.3">
      <c r="A26" s="10">
        <v>25</v>
      </c>
      <c r="B26" s="10">
        <v>1005</v>
      </c>
      <c r="C26" s="10" t="s">
        <v>6</v>
      </c>
      <c r="D26" s="10" t="s">
        <v>26</v>
      </c>
      <c r="E26" s="1">
        <f t="shared" si="1"/>
        <v>42501</v>
      </c>
      <c r="F26" s="1">
        <f t="shared" ca="1" si="2"/>
        <v>42550</v>
      </c>
      <c r="G26" s="2">
        <f t="shared" si="3"/>
        <v>42557</v>
      </c>
      <c r="H26">
        <f t="shared" ca="1" si="4"/>
        <v>0</v>
      </c>
    </row>
    <row r="27" spans="1:8" x14ac:dyDescent="0.3">
      <c r="A27" s="10">
        <v>26</v>
      </c>
      <c r="B27" s="10">
        <v>1001</v>
      </c>
      <c r="C27" s="10" t="s">
        <v>7</v>
      </c>
      <c r="D27" s="10" t="s">
        <v>26</v>
      </c>
      <c r="E27" s="1">
        <f t="shared" si="1"/>
        <v>42478</v>
      </c>
      <c r="F27" s="1">
        <f t="shared" ca="1" si="2"/>
        <v>42550</v>
      </c>
      <c r="G27" s="2">
        <f t="shared" si="3"/>
        <v>42534</v>
      </c>
      <c r="H27">
        <f t="shared" ca="1" si="4"/>
        <v>12</v>
      </c>
    </row>
    <row r="28" spans="1:8" x14ac:dyDescent="0.3">
      <c r="A28" s="10">
        <v>27</v>
      </c>
      <c r="B28" s="10">
        <v>1002</v>
      </c>
      <c r="C28" s="10" t="s">
        <v>7</v>
      </c>
      <c r="D28" s="10" t="s">
        <v>26</v>
      </c>
      <c r="E28" s="1">
        <f t="shared" si="1"/>
        <v>42478</v>
      </c>
      <c r="F28" s="1">
        <f t="shared" ca="1" si="2"/>
        <v>42550</v>
      </c>
      <c r="G28" s="2">
        <f t="shared" si="3"/>
        <v>42534</v>
      </c>
      <c r="H28">
        <f t="shared" ca="1" si="4"/>
        <v>12</v>
      </c>
    </row>
    <row r="29" spans="1:8" x14ac:dyDescent="0.3">
      <c r="A29" s="10">
        <v>28</v>
      </c>
      <c r="B29" s="10">
        <v>1003</v>
      </c>
      <c r="C29" s="10" t="s">
        <v>7</v>
      </c>
      <c r="D29" s="10" t="s">
        <v>18</v>
      </c>
      <c r="E29" s="1">
        <f t="shared" si="1"/>
        <v>42478</v>
      </c>
      <c r="F29" s="1">
        <f t="shared" ca="1" si="2"/>
        <v>42546</v>
      </c>
      <c r="G29" s="2">
        <f t="shared" si="3"/>
        <v>42534</v>
      </c>
      <c r="H29">
        <f t="shared" ca="1" si="4"/>
        <v>9</v>
      </c>
    </row>
    <row r="30" spans="1:8" x14ac:dyDescent="0.3">
      <c r="A30" s="10">
        <v>29</v>
      </c>
      <c r="B30" s="10">
        <v>1004</v>
      </c>
      <c r="C30" s="10" t="s">
        <v>7</v>
      </c>
      <c r="D30" s="10" t="s">
        <v>19</v>
      </c>
      <c r="E30" s="1">
        <f t="shared" si="1"/>
        <v>42478</v>
      </c>
      <c r="F30" s="1">
        <f t="shared" ca="1" si="2"/>
        <v>42512</v>
      </c>
      <c r="G30" s="2">
        <f t="shared" si="3"/>
        <v>42534</v>
      </c>
      <c r="H30">
        <f t="shared" ca="1" si="4"/>
        <v>0</v>
      </c>
    </row>
    <row r="31" spans="1:8" x14ac:dyDescent="0.3">
      <c r="A31" s="10">
        <v>30</v>
      </c>
      <c r="B31" s="10">
        <v>1005</v>
      </c>
      <c r="C31" s="10" t="s">
        <v>7</v>
      </c>
      <c r="D31" s="10" t="s">
        <v>20</v>
      </c>
      <c r="E31" s="1">
        <f t="shared" si="1"/>
        <v>42478</v>
      </c>
      <c r="F31" s="1">
        <f t="shared" ca="1" si="2"/>
        <v>42535</v>
      </c>
      <c r="G31" s="2">
        <f t="shared" si="3"/>
        <v>42534</v>
      </c>
      <c r="H31">
        <f t="shared" ca="1" si="4"/>
        <v>1</v>
      </c>
    </row>
    <row r="32" spans="1:8" x14ac:dyDescent="0.3">
      <c r="A32" s="10">
        <v>31</v>
      </c>
      <c r="B32" s="10">
        <v>1001</v>
      </c>
      <c r="C32" s="10" t="s">
        <v>7</v>
      </c>
      <c r="D32" s="10" t="s">
        <v>20</v>
      </c>
      <c r="E32" s="1">
        <f t="shared" si="1"/>
        <v>42478</v>
      </c>
      <c r="F32" s="1">
        <f t="shared" ca="1" si="2"/>
        <v>42535</v>
      </c>
      <c r="G32" s="2">
        <f t="shared" si="3"/>
        <v>42534</v>
      </c>
      <c r="H32">
        <f t="shared" ca="1" si="4"/>
        <v>1</v>
      </c>
    </row>
    <row r="33" spans="1:8" x14ac:dyDescent="0.3">
      <c r="A33" s="10">
        <v>32</v>
      </c>
      <c r="B33" s="10">
        <v>1002</v>
      </c>
      <c r="C33" s="10" t="s">
        <v>7</v>
      </c>
      <c r="D33" s="10" t="s">
        <v>21</v>
      </c>
      <c r="E33" s="1">
        <f t="shared" si="1"/>
        <v>42478</v>
      </c>
      <c r="F33" s="1">
        <f t="shared" ca="1" si="2"/>
        <v>42528</v>
      </c>
      <c r="G33" s="2">
        <f t="shared" si="3"/>
        <v>42534</v>
      </c>
      <c r="H33">
        <f t="shared" ca="1" si="4"/>
        <v>0</v>
      </c>
    </row>
    <row r="34" spans="1:8" x14ac:dyDescent="0.3">
      <c r="A34" s="10">
        <v>33</v>
      </c>
      <c r="B34" s="10">
        <v>1003</v>
      </c>
      <c r="C34" s="10" t="s">
        <v>8</v>
      </c>
      <c r="D34" s="10" t="s">
        <v>28</v>
      </c>
      <c r="E34" s="1">
        <f t="shared" si="1"/>
        <v>42564</v>
      </c>
      <c r="F34" s="1">
        <f t="shared" ca="1" si="2"/>
        <v>42667</v>
      </c>
      <c r="G34" s="2">
        <f t="shared" si="3"/>
        <v>42620</v>
      </c>
      <c r="H34">
        <f t="shared" ca="1" si="4"/>
        <v>33</v>
      </c>
    </row>
    <row r="35" spans="1:8" x14ac:dyDescent="0.3">
      <c r="A35" s="10">
        <v>34</v>
      </c>
      <c r="B35" s="10">
        <v>1004</v>
      </c>
      <c r="C35" s="10" t="s">
        <v>8</v>
      </c>
      <c r="D35" s="10" t="s">
        <v>28</v>
      </c>
      <c r="E35" s="1">
        <f t="shared" si="1"/>
        <v>42564</v>
      </c>
      <c r="F35" s="1">
        <f t="shared" ca="1" si="2"/>
        <v>42667</v>
      </c>
      <c r="G35" s="2">
        <f t="shared" si="3"/>
        <v>42620</v>
      </c>
      <c r="H35">
        <f t="shared" ca="1" si="4"/>
        <v>33</v>
      </c>
    </row>
    <row r="36" spans="1:8" x14ac:dyDescent="0.3">
      <c r="A36" s="10">
        <v>35</v>
      </c>
      <c r="B36" s="10">
        <v>1005</v>
      </c>
      <c r="C36" s="10" t="s">
        <v>8</v>
      </c>
      <c r="D36" s="10" t="s">
        <v>27</v>
      </c>
      <c r="E36" s="1">
        <f t="shared" si="1"/>
        <v>42564</v>
      </c>
      <c r="F36" s="1">
        <f t="shared" ca="1" si="2"/>
        <v>42637</v>
      </c>
      <c r="G36" s="2">
        <f t="shared" si="3"/>
        <v>42620</v>
      </c>
      <c r="H36">
        <f t="shared" ca="1" si="4"/>
        <v>12</v>
      </c>
    </row>
    <row r="37" spans="1:8" x14ac:dyDescent="0.3">
      <c r="A37" s="10">
        <v>36</v>
      </c>
      <c r="B37" s="10">
        <v>1001</v>
      </c>
      <c r="C37" s="10" t="s">
        <v>8</v>
      </c>
      <c r="D37" s="10" t="s">
        <v>27</v>
      </c>
      <c r="E37" s="1">
        <f t="shared" si="1"/>
        <v>42564</v>
      </c>
      <c r="F37" s="1">
        <f t="shared" ca="1" si="2"/>
        <v>42637</v>
      </c>
      <c r="G37" s="2">
        <f t="shared" si="3"/>
        <v>42620</v>
      </c>
      <c r="H37">
        <f t="shared" ca="1" si="4"/>
        <v>12</v>
      </c>
    </row>
    <row r="38" spans="1:8" x14ac:dyDescent="0.3">
      <c r="A38" s="10">
        <v>37</v>
      </c>
      <c r="B38" s="10">
        <v>1002</v>
      </c>
      <c r="C38" s="10" t="s">
        <v>8</v>
      </c>
      <c r="D38" s="10" t="s">
        <v>29</v>
      </c>
      <c r="E38" s="1">
        <f t="shared" si="1"/>
        <v>42564</v>
      </c>
      <c r="F38" s="1">
        <f t="shared" ca="1" si="2"/>
        <v>42598</v>
      </c>
      <c r="G38" s="2">
        <f t="shared" si="3"/>
        <v>42620</v>
      </c>
      <c r="H38">
        <f t="shared" ca="1" si="4"/>
        <v>0</v>
      </c>
    </row>
    <row r="39" spans="1:8" x14ac:dyDescent="0.3">
      <c r="A39" s="10">
        <v>38</v>
      </c>
      <c r="B39" s="10">
        <v>1003</v>
      </c>
      <c r="C39" s="10" t="s">
        <v>8</v>
      </c>
      <c r="D39" s="10" t="s">
        <v>30</v>
      </c>
      <c r="E39" s="1">
        <f t="shared" si="1"/>
        <v>42564</v>
      </c>
      <c r="F39" s="1">
        <f t="shared" ca="1" si="2"/>
        <v>42606</v>
      </c>
      <c r="G39" s="2">
        <f t="shared" si="3"/>
        <v>42620</v>
      </c>
      <c r="H39">
        <f t="shared" ca="1" si="4"/>
        <v>0</v>
      </c>
    </row>
    <row r="40" spans="1:8" x14ac:dyDescent="0.3">
      <c r="A40" s="10">
        <v>39</v>
      </c>
      <c r="B40" s="10">
        <v>1004</v>
      </c>
      <c r="C40" s="10" t="s">
        <v>9</v>
      </c>
      <c r="D40" s="10" t="s">
        <v>31</v>
      </c>
      <c r="E40" s="1">
        <f t="shared" si="1"/>
        <v>42295</v>
      </c>
      <c r="F40" s="1">
        <f t="shared" ca="1" si="2"/>
        <v>42697</v>
      </c>
      <c r="G40" s="2">
        <f t="shared" si="3"/>
        <v>42349</v>
      </c>
      <c r="H40">
        <f t="shared" ca="1" si="4"/>
        <v>248</v>
      </c>
    </row>
    <row r="41" spans="1:8" x14ac:dyDescent="0.3">
      <c r="A41" s="10">
        <v>40</v>
      </c>
      <c r="B41" s="10">
        <v>1005</v>
      </c>
      <c r="C41" s="10" t="s">
        <v>9</v>
      </c>
      <c r="D41" s="10" t="s">
        <v>32</v>
      </c>
      <c r="E41" s="1">
        <f t="shared" si="1"/>
        <v>42295</v>
      </c>
      <c r="F41" s="1">
        <f t="shared" ca="1" si="2"/>
        <v>42690</v>
      </c>
      <c r="G41" s="2">
        <f t="shared" si="3"/>
        <v>42349</v>
      </c>
      <c r="H41">
        <f t="shared" ca="1" si="4"/>
        <v>243</v>
      </c>
    </row>
    <row r="42" spans="1:8" x14ac:dyDescent="0.3">
      <c r="A42" s="10">
        <v>41</v>
      </c>
      <c r="B42" s="10">
        <v>1001</v>
      </c>
      <c r="C42" s="10" t="s">
        <v>9</v>
      </c>
      <c r="D42" s="10" t="s">
        <v>33</v>
      </c>
      <c r="E42" s="1">
        <f t="shared" si="1"/>
        <v>42295</v>
      </c>
      <c r="F42" s="1">
        <f t="shared" ca="1" si="2"/>
        <v>42703</v>
      </c>
      <c r="G42" s="2">
        <f t="shared" si="3"/>
        <v>42349</v>
      </c>
      <c r="H42">
        <f t="shared" ca="1" si="4"/>
        <v>252</v>
      </c>
    </row>
    <row r="43" spans="1:8" x14ac:dyDescent="0.3">
      <c r="A43" s="10">
        <v>42</v>
      </c>
      <c r="B43" s="10">
        <v>1002</v>
      </c>
      <c r="C43" s="10" t="s">
        <v>9</v>
      </c>
      <c r="D43" s="10" t="s">
        <v>34</v>
      </c>
      <c r="E43" s="1">
        <f t="shared" si="1"/>
        <v>42295</v>
      </c>
      <c r="F43" s="1">
        <f t="shared" ca="1" si="2"/>
        <v>42705</v>
      </c>
      <c r="G43" s="2">
        <f t="shared" si="3"/>
        <v>42349</v>
      </c>
      <c r="H43">
        <f t="shared" ca="1" si="4"/>
        <v>254</v>
      </c>
    </row>
    <row r="44" spans="1:8" x14ac:dyDescent="0.3">
      <c r="A44" s="10">
        <v>43</v>
      </c>
      <c r="B44" s="10">
        <v>1003</v>
      </c>
      <c r="C44" s="10" t="s">
        <v>9</v>
      </c>
      <c r="D44" s="10" t="s">
        <v>34</v>
      </c>
      <c r="E44" s="1">
        <f t="shared" si="1"/>
        <v>42295</v>
      </c>
      <c r="F44" s="1">
        <f t="shared" ca="1" si="2"/>
        <v>42705</v>
      </c>
      <c r="G44" s="2">
        <f t="shared" si="3"/>
        <v>42349</v>
      </c>
      <c r="H44">
        <f t="shared" ca="1" si="4"/>
        <v>254</v>
      </c>
    </row>
    <row r="45" spans="1:8" x14ac:dyDescent="0.3">
      <c r="A45" s="10">
        <v>44</v>
      </c>
      <c r="B45" s="10">
        <v>1004</v>
      </c>
      <c r="C45" s="10" t="s">
        <v>9</v>
      </c>
      <c r="E45" s="1">
        <f t="shared" si="1"/>
        <v>42295</v>
      </c>
      <c r="F45" s="1">
        <f t="shared" ca="1" si="2"/>
        <v>42708</v>
      </c>
      <c r="G45" s="2">
        <f t="shared" si="3"/>
        <v>42349</v>
      </c>
      <c r="H45">
        <f t="shared" ca="1" si="4"/>
        <v>255</v>
      </c>
    </row>
    <row r="46" spans="1:8" x14ac:dyDescent="0.3">
      <c r="A46" s="10">
        <v>45</v>
      </c>
      <c r="B46" s="10">
        <v>1005</v>
      </c>
      <c r="C46" s="10" t="s">
        <v>9</v>
      </c>
      <c r="E46" s="1">
        <f t="shared" si="1"/>
        <v>42295</v>
      </c>
      <c r="F46" s="1">
        <f t="shared" ca="1" si="2"/>
        <v>42708</v>
      </c>
      <c r="G46" s="2">
        <f t="shared" si="3"/>
        <v>42349</v>
      </c>
      <c r="H46">
        <f t="shared" ca="1" si="4"/>
        <v>255</v>
      </c>
    </row>
    <row r="47" spans="1:8" x14ac:dyDescent="0.3">
      <c r="A47" s="10">
        <v>46</v>
      </c>
      <c r="B47" s="10">
        <v>1001</v>
      </c>
      <c r="C47" s="10" t="s">
        <v>10</v>
      </c>
      <c r="E47" s="1">
        <f t="shared" si="1"/>
        <v>42723</v>
      </c>
      <c r="F47" s="1">
        <f t="shared" ca="1" si="2"/>
        <v>42708</v>
      </c>
      <c r="G47" s="2">
        <f t="shared" si="3"/>
        <v>42779</v>
      </c>
      <c r="H47">
        <f t="shared" ca="1" si="4"/>
        <v>0</v>
      </c>
    </row>
    <row r="48" spans="1:8" x14ac:dyDescent="0.3">
      <c r="A48" s="10">
        <v>47</v>
      </c>
      <c r="B48" s="10">
        <v>1002</v>
      </c>
      <c r="C48" s="10" t="s">
        <v>10</v>
      </c>
      <c r="E48" s="1">
        <f t="shared" si="1"/>
        <v>42723</v>
      </c>
      <c r="F48" s="1">
        <f t="shared" ca="1" si="2"/>
        <v>42708</v>
      </c>
      <c r="G48" s="2">
        <f t="shared" si="3"/>
        <v>42779</v>
      </c>
      <c r="H48">
        <f t="shared" ca="1" si="4"/>
        <v>0</v>
      </c>
    </row>
    <row r="49" spans="1:8" x14ac:dyDescent="0.3">
      <c r="A49" s="10">
        <v>48</v>
      </c>
      <c r="B49" s="10">
        <v>1003</v>
      </c>
      <c r="C49" s="10" t="s">
        <v>10</v>
      </c>
      <c r="E49" s="1">
        <f t="shared" si="1"/>
        <v>42723</v>
      </c>
      <c r="F49" s="1">
        <f t="shared" ca="1" si="2"/>
        <v>42708</v>
      </c>
      <c r="G49" s="2">
        <f t="shared" si="3"/>
        <v>42779</v>
      </c>
      <c r="H49">
        <f t="shared" ca="1" si="4"/>
        <v>0</v>
      </c>
    </row>
    <row r="50" spans="1:8" x14ac:dyDescent="0.3">
      <c r="A50" s="10">
        <v>49</v>
      </c>
      <c r="B50" s="10">
        <v>1004</v>
      </c>
      <c r="C50" s="10" t="s">
        <v>10</v>
      </c>
      <c r="E50" s="1">
        <f t="shared" si="1"/>
        <v>42723</v>
      </c>
      <c r="F50" s="1">
        <f t="shared" ca="1" si="2"/>
        <v>42708</v>
      </c>
      <c r="G50" s="2">
        <f t="shared" si="3"/>
        <v>42779</v>
      </c>
      <c r="H50">
        <f t="shared" ca="1" si="4"/>
        <v>0</v>
      </c>
    </row>
    <row r="51" spans="1:8" x14ac:dyDescent="0.3">
      <c r="A51" s="10">
        <v>50</v>
      </c>
      <c r="B51" s="10">
        <v>1005</v>
      </c>
      <c r="C51" s="10" t="s">
        <v>10</v>
      </c>
      <c r="E51" s="1">
        <f t="shared" si="1"/>
        <v>42723</v>
      </c>
      <c r="F51" s="1">
        <f t="shared" ca="1" si="2"/>
        <v>42708</v>
      </c>
      <c r="G51" s="2">
        <f t="shared" si="3"/>
        <v>42779</v>
      </c>
      <c r="H51">
        <f t="shared" ca="1" si="4"/>
        <v>0</v>
      </c>
    </row>
    <row r="52" spans="1:8" x14ac:dyDescent="0.3">
      <c r="A52" s="10">
        <v>51</v>
      </c>
      <c r="B52" s="10">
        <v>1006</v>
      </c>
      <c r="C52" s="10" t="s">
        <v>44</v>
      </c>
      <c r="E52" s="1">
        <f t="shared" si="1"/>
        <v>42724</v>
      </c>
      <c r="F52" s="1">
        <f t="shared" ca="1" si="2"/>
        <v>42708</v>
      </c>
      <c r="G52" s="2">
        <f t="shared" si="3"/>
        <v>42780</v>
      </c>
      <c r="H52">
        <f t="shared" ca="1" si="4"/>
        <v>0</v>
      </c>
    </row>
  </sheetData>
  <pageMargins left="0.7" right="0.7" top="0.75" bottom="0.75" header="0.3" footer="0.3"/>
  <pageSetup paperSize="9" orientation="portrait" horizontalDpi="300" verticalDpi="300" r:id="rId1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workbookViewId="0">
      <selection activeCell="A2" sqref="A2"/>
    </sheetView>
  </sheetViews>
  <sheetFormatPr defaultRowHeight="14.4" x14ac:dyDescent="0.3"/>
  <sheetData>
    <row r="1" spans="1:1" x14ac:dyDescent="0.3">
      <c r="A1">
        <v>2016</v>
      </c>
    </row>
    <row r="2" spans="1:1" x14ac:dyDescent="0.3">
      <c r="A2">
        <v>40</v>
      </c>
    </row>
  </sheetData>
  <pageMargins left="0.7" right="0.7" top="0.75" bottom="0.75" header="0.3" footer="0.3"/>
  <pageSetup paperSize="9" orientation="portrait" horizontalDpi="300" verticalDpi="300" r:id="rId1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0"/>
  <sheetViews>
    <sheetView workbookViewId="0">
      <selection activeCell="K17" sqref="K17"/>
    </sheetView>
  </sheetViews>
  <sheetFormatPr defaultRowHeight="14.4" x14ac:dyDescent="0.3"/>
  <cols>
    <col min="3" max="4" width="16.109375" customWidth="1"/>
  </cols>
  <sheetData>
    <row r="1" spans="1:4" x14ac:dyDescent="0.3">
      <c r="A1" s="9" t="s">
        <v>0</v>
      </c>
      <c r="B1" s="9" t="s">
        <v>1</v>
      </c>
      <c r="C1" s="9" t="s">
        <v>36</v>
      </c>
      <c r="D1" s="9" t="s">
        <v>37</v>
      </c>
    </row>
    <row r="2" spans="1:4" x14ac:dyDescent="0.3">
      <c r="A2" s="10">
        <v>2</v>
      </c>
      <c r="B2" s="10">
        <v>1002</v>
      </c>
      <c r="C2" s="10" t="s">
        <v>3</v>
      </c>
      <c r="D2" s="10" t="s">
        <v>14</v>
      </c>
    </row>
    <row r="3" spans="1:4" x14ac:dyDescent="0.3">
      <c r="A3" s="10">
        <v>6</v>
      </c>
      <c r="B3" s="10">
        <v>1001</v>
      </c>
      <c r="C3" s="10" t="s">
        <v>4</v>
      </c>
      <c r="D3" s="10" t="s">
        <v>17</v>
      </c>
    </row>
    <row r="4" spans="1:4" x14ac:dyDescent="0.3">
      <c r="A4" s="10">
        <v>8</v>
      </c>
      <c r="B4" s="10">
        <v>1003</v>
      </c>
      <c r="C4" s="10" t="s">
        <v>4</v>
      </c>
      <c r="D4" s="10" t="s">
        <v>18</v>
      </c>
    </row>
    <row r="5" spans="1:4" x14ac:dyDescent="0.3">
      <c r="A5" s="10">
        <v>10</v>
      </c>
      <c r="B5" s="10">
        <v>1005</v>
      </c>
      <c r="C5" s="10" t="s">
        <v>5</v>
      </c>
      <c r="D5" s="10" t="s">
        <v>20</v>
      </c>
    </row>
    <row r="6" spans="1:4" x14ac:dyDescent="0.3">
      <c r="A6" s="10">
        <v>11</v>
      </c>
      <c r="B6" s="10">
        <v>1001</v>
      </c>
      <c r="C6" s="10" t="s">
        <v>5</v>
      </c>
      <c r="D6" s="10" t="s">
        <v>20</v>
      </c>
    </row>
    <row r="7" spans="1:4" x14ac:dyDescent="0.3">
      <c r="A7" s="10">
        <v>14</v>
      </c>
      <c r="B7" s="10">
        <v>1004</v>
      </c>
      <c r="C7" s="10" t="s">
        <v>5</v>
      </c>
      <c r="D7" s="10" t="s">
        <v>18</v>
      </c>
    </row>
    <row r="8" spans="1:4" x14ac:dyDescent="0.3">
      <c r="A8" s="10">
        <v>15</v>
      </c>
      <c r="B8" s="10">
        <v>1005</v>
      </c>
      <c r="C8" s="10" t="s">
        <v>5</v>
      </c>
      <c r="D8" s="10" t="s">
        <v>18</v>
      </c>
    </row>
    <row r="9" spans="1:4" x14ac:dyDescent="0.3">
      <c r="A9" s="10">
        <v>16</v>
      </c>
      <c r="B9" s="10">
        <v>1001</v>
      </c>
      <c r="C9" s="10" t="s">
        <v>5</v>
      </c>
      <c r="D9" s="10" t="s">
        <v>18</v>
      </c>
    </row>
    <row r="10" spans="1:4" x14ac:dyDescent="0.3">
      <c r="A10" s="10">
        <v>23</v>
      </c>
      <c r="B10" s="10">
        <v>1003</v>
      </c>
      <c r="C10" s="10" t="s">
        <v>6</v>
      </c>
      <c r="D10" s="10"/>
    </row>
    <row r="11" spans="1:4" x14ac:dyDescent="0.3">
      <c r="A11" s="10">
        <v>24</v>
      </c>
      <c r="B11" s="10">
        <v>1004</v>
      </c>
      <c r="C11" s="10" t="s">
        <v>6</v>
      </c>
      <c r="D11" s="10"/>
    </row>
    <row r="12" spans="1:4" x14ac:dyDescent="0.3">
      <c r="A12" s="10">
        <v>33</v>
      </c>
      <c r="B12" s="10">
        <v>1003</v>
      </c>
      <c r="C12" s="10" t="s">
        <v>8</v>
      </c>
      <c r="D12" s="10" t="s">
        <v>28</v>
      </c>
    </row>
    <row r="13" spans="1:4" x14ac:dyDescent="0.3">
      <c r="A13" s="10">
        <v>34</v>
      </c>
      <c r="B13" s="10">
        <v>1004</v>
      </c>
      <c r="C13" s="10" t="s">
        <v>8</v>
      </c>
      <c r="D13" s="10" t="s">
        <v>28</v>
      </c>
    </row>
    <row r="14" spans="1:4" x14ac:dyDescent="0.3">
      <c r="A14" s="10">
        <v>39</v>
      </c>
      <c r="B14" s="10">
        <v>1004</v>
      </c>
      <c r="C14" s="10" t="s">
        <v>9</v>
      </c>
      <c r="D14" s="10" t="s">
        <v>31</v>
      </c>
    </row>
    <row r="15" spans="1:4" x14ac:dyDescent="0.3">
      <c r="A15" s="10">
        <v>40</v>
      </c>
      <c r="B15" s="10">
        <v>1005</v>
      </c>
      <c r="C15" s="10" t="s">
        <v>9</v>
      </c>
      <c r="D15" s="10" t="s">
        <v>32</v>
      </c>
    </row>
    <row r="16" spans="1:4" x14ac:dyDescent="0.3">
      <c r="A16" s="10">
        <v>41</v>
      </c>
      <c r="B16" s="10">
        <v>1001</v>
      </c>
      <c r="C16" s="10" t="s">
        <v>9</v>
      </c>
      <c r="D16" s="10" t="s">
        <v>33</v>
      </c>
    </row>
    <row r="17" spans="1:4" x14ac:dyDescent="0.3">
      <c r="A17" s="10">
        <v>42</v>
      </c>
      <c r="B17" s="10">
        <v>1002</v>
      </c>
      <c r="C17" s="10" t="s">
        <v>9</v>
      </c>
      <c r="D17" s="10" t="s">
        <v>34</v>
      </c>
    </row>
    <row r="18" spans="1:4" x14ac:dyDescent="0.3">
      <c r="A18" s="10">
        <v>43</v>
      </c>
      <c r="B18" s="10">
        <v>1003</v>
      </c>
      <c r="C18" s="10" t="s">
        <v>9</v>
      </c>
      <c r="D18" s="10" t="s">
        <v>34</v>
      </c>
    </row>
    <row r="19" spans="1:4" x14ac:dyDescent="0.3">
      <c r="A19" s="10">
        <v>44</v>
      </c>
      <c r="B19" s="10">
        <v>1004</v>
      </c>
      <c r="C19" s="10" t="s">
        <v>9</v>
      </c>
      <c r="D19" s="10"/>
    </row>
    <row r="20" spans="1:4" x14ac:dyDescent="0.3">
      <c r="A20" s="10">
        <v>45</v>
      </c>
      <c r="B20" s="10">
        <v>1005</v>
      </c>
      <c r="C20" s="10" t="s">
        <v>9</v>
      </c>
      <c r="D20" s="10"/>
    </row>
  </sheetData>
  <pageMargins left="0.7" right="0.7" top="0.75" bottom="0.75" header="0.3" footer="0.3"/>
  <pageSetup paperSize="9" orientation="portrait" horizontalDpi="300" verticalDpi="300" r:id="rId1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300" verticalDpi="300" r:id="rId1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300" verticalDpi="300" r:id="rId1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2"/>
  <sheetViews>
    <sheetView workbookViewId="0">
      <selection activeCell="C17" sqref="C17"/>
    </sheetView>
  </sheetViews>
  <sheetFormatPr defaultRowHeight="14.4" x14ac:dyDescent="0.3"/>
  <cols>
    <col min="1" max="1" width="13.88671875" style="10" customWidth="1"/>
    <col min="2" max="2" width="14.88671875" style="10" customWidth="1"/>
    <col min="3" max="4" width="20.33203125" style="10" customWidth="1"/>
  </cols>
  <sheetData>
    <row r="1" spans="1:4" x14ac:dyDescent="0.3">
      <c r="A1" s="9" t="s">
        <v>0</v>
      </c>
      <c r="B1" s="9" t="s">
        <v>1</v>
      </c>
      <c r="C1" s="9" t="s">
        <v>36</v>
      </c>
      <c r="D1" s="9" t="s">
        <v>37</v>
      </c>
    </row>
    <row r="2" spans="1:4" x14ac:dyDescent="0.3">
      <c r="A2" s="10">
        <v>1</v>
      </c>
      <c r="B2" s="10">
        <v>1001</v>
      </c>
      <c r="C2" s="10" t="s">
        <v>3</v>
      </c>
      <c r="D2" s="10" t="s">
        <v>12</v>
      </c>
    </row>
    <row r="3" spans="1:4" x14ac:dyDescent="0.3">
      <c r="A3" s="10">
        <v>2</v>
      </c>
      <c r="B3" s="10">
        <v>1002</v>
      </c>
      <c r="C3" s="10" t="s">
        <v>3</v>
      </c>
      <c r="D3" s="10" t="s">
        <v>14</v>
      </c>
    </row>
    <row r="4" spans="1:4" x14ac:dyDescent="0.3">
      <c r="A4" s="10">
        <v>3</v>
      </c>
      <c r="B4" s="10">
        <v>1003</v>
      </c>
      <c r="C4" s="10" t="s">
        <v>3</v>
      </c>
      <c r="D4" s="10" t="s">
        <v>13</v>
      </c>
    </row>
    <row r="5" spans="1:4" x14ac:dyDescent="0.3">
      <c r="A5" s="10">
        <v>4</v>
      </c>
      <c r="B5" s="10">
        <v>1004</v>
      </c>
      <c r="C5" s="10" t="s">
        <v>3</v>
      </c>
      <c r="D5" s="10" t="s">
        <v>15</v>
      </c>
    </row>
    <row r="6" spans="1:4" x14ac:dyDescent="0.3">
      <c r="A6" s="10">
        <v>5</v>
      </c>
      <c r="B6" s="10">
        <v>1005</v>
      </c>
      <c r="C6" s="10" t="s">
        <v>4</v>
      </c>
      <c r="D6" s="10" t="s">
        <v>16</v>
      </c>
    </row>
    <row r="7" spans="1:4" x14ac:dyDescent="0.3">
      <c r="A7" s="10">
        <v>6</v>
      </c>
      <c r="B7" s="10">
        <v>1001</v>
      </c>
      <c r="C7" s="10" t="s">
        <v>4</v>
      </c>
      <c r="D7" s="10" t="s">
        <v>17</v>
      </c>
    </row>
    <row r="8" spans="1:4" x14ac:dyDescent="0.3">
      <c r="A8" s="10">
        <v>7</v>
      </c>
      <c r="B8" s="10">
        <v>1002</v>
      </c>
      <c r="C8" s="10" t="s">
        <v>4</v>
      </c>
      <c r="D8" s="10" t="s">
        <v>14</v>
      </c>
    </row>
    <row r="9" spans="1:4" x14ac:dyDescent="0.3">
      <c r="A9" s="10">
        <v>8</v>
      </c>
      <c r="B9" s="10">
        <v>1003</v>
      </c>
      <c r="C9" s="10" t="s">
        <v>4</v>
      </c>
      <c r="D9" s="10" t="s">
        <v>18</v>
      </c>
    </row>
    <row r="10" spans="1:4" x14ac:dyDescent="0.3">
      <c r="A10" s="10">
        <v>9</v>
      </c>
      <c r="B10" s="10">
        <v>1004</v>
      </c>
      <c r="C10" s="10" t="s">
        <v>5</v>
      </c>
      <c r="D10" s="10" t="s">
        <v>19</v>
      </c>
    </row>
    <row r="11" spans="1:4" x14ac:dyDescent="0.3">
      <c r="A11" s="10">
        <v>10</v>
      </c>
      <c r="B11" s="10">
        <v>1005</v>
      </c>
      <c r="C11" s="10" t="s">
        <v>5</v>
      </c>
      <c r="D11" s="10" t="s">
        <v>20</v>
      </c>
    </row>
    <row r="12" spans="1:4" x14ac:dyDescent="0.3">
      <c r="A12" s="10">
        <v>11</v>
      </c>
      <c r="B12" s="10">
        <v>1001</v>
      </c>
      <c r="C12" s="10" t="s">
        <v>5</v>
      </c>
      <c r="D12" s="10" t="s">
        <v>20</v>
      </c>
    </row>
    <row r="13" spans="1:4" x14ac:dyDescent="0.3">
      <c r="A13" s="10">
        <v>12</v>
      </c>
      <c r="B13" s="10">
        <v>1002</v>
      </c>
      <c r="C13" s="10" t="s">
        <v>5</v>
      </c>
      <c r="D13" s="10" t="s">
        <v>21</v>
      </c>
    </row>
    <row r="14" spans="1:4" x14ac:dyDescent="0.3">
      <c r="A14" s="10">
        <v>13</v>
      </c>
      <c r="B14" s="10">
        <v>1003</v>
      </c>
      <c r="C14" s="10" t="s">
        <v>5</v>
      </c>
      <c r="D14" s="10" t="s">
        <v>21</v>
      </c>
    </row>
    <row r="15" spans="1:4" x14ac:dyDescent="0.3">
      <c r="A15" s="10">
        <v>14</v>
      </c>
      <c r="B15" s="10">
        <v>1004</v>
      </c>
      <c r="C15" s="10" t="s">
        <v>5</v>
      </c>
      <c r="D15" s="10" t="s">
        <v>18</v>
      </c>
    </row>
    <row r="16" spans="1:4" x14ac:dyDescent="0.3">
      <c r="A16" s="10">
        <v>15</v>
      </c>
      <c r="B16" s="10">
        <v>1005</v>
      </c>
      <c r="C16" s="10" t="s">
        <v>5</v>
      </c>
      <c r="D16" s="10" t="s">
        <v>18</v>
      </c>
    </row>
    <row r="17" spans="1:4" x14ac:dyDescent="0.3">
      <c r="A17" s="10">
        <v>16</v>
      </c>
      <c r="B17" s="10">
        <v>1001</v>
      </c>
      <c r="C17" s="10" t="s">
        <v>5</v>
      </c>
      <c r="D17" s="10" t="s">
        <v>18</v>
      </c>
    </row>
    <row r="18" spans="1:4" x14ac:dyDescent="0.3">
      <c r="A18" s="10">
        <v>17</v>
      </c>
      <c r="B18" s="10">
        <v>1002</v>
      </c>
      <c r="C18" s="10" t="s">
        <v>6</v>
      </c>
      <c r="D18" s="10" t="s">
        <v>18</v>
      </c>
    </row>
    <row r="19" spans="1:4" x14ac:dyDescent="0.3">
      <c r="A19" s="10">
        <v>18</v>
      </c>
      <c r="B19" s="10">
        <v>1003</v>
      </c>
      <c r="C19" s="10" t="s">
        <v>6</v>
      </c>
      <c r="D19" s="10" t="s">
        <v>22</v>
      </c>
    </row>
    <row r="20" spans="1:4" x14ac:dyDescent="0.3">
      <c r="A20" s="10">
        <v>19</v>
      </c>
      <c r="B20" s="10">
        <v>1004</v>
      </c>
      <c r="C20" s="10" t="s">
        <v>6</v>
      </c>
      <c r="D20" s="10" t="s">
        <v>23</v>
      </c>
    </row>
    <row r="21" spans="1:4" x14ac:dyDescent="0.3">
      <c r="A21" s="10">
        <v>20</v>
      </c>
      <c r="B21" s="10">
        <v>1005</v>
      </c>
      <c r="C21" s="10" t="s">
        <v>6</v>
      </c>
      <c r="D21" s="10" t="s">
        <v>24</v>
      </c>
    </row>
    <row r="22" spans="1:4" x14ac:dyDescent="0.3">
      <c r="A22" s="10">
        <v>21</v>
      </c>
      <c r="B22" s="10">
        <v>1001</v>
      </c>
      <c r="C22" s="10" t="s">
        <v>6</v>
      </c>
      <c r="D22" s="10" t="s">
        <v>25</v>
      </c>
    </row>
    <row r="23" spans="1:4" x14ac:dyDescent="0.3">
      <c r="A23" s="10">
        <v>22</v>
      </c>
      <c r="B23" s="10">
        <v>1002</v>
      </c>
      <c r="C23" s="10" t="s">
        <v>6</v>
      </c>
      <c r="D23" s="10" t="s">
        <v>25</v>
      </c>
    </row>
    <row r="24" spans="1:4" x14ac:dyDescent="0.3">
      <c r="A24" s="10">
        <v>23</v>
      </c>
      <c r="B24" s="10">
        <v>1003</v>
      </c>
      <c r="C24" s="10" t="s">
        <v>6</v>
      </c>
    </row>
    <row r="25" spans="1:4" x14ac:dyDescent="0.3">
      <c r="A25" s="10">
        <v>24</v>
      </c>
      <c r="B25" s="10">
        <v>1004</v>
      </c>
      <c r="C25" s="10" t="s">
        <v>6</v>
      </c>
    </row>
    <row r="26" spans="1:4" x14ac:dyDescent="0.3">
      <c r="A26" s="10">
        <v>25</v>
      </c>
      <c r="B26" s="10">
        <v>1005</v>
      </c>
      <c r="C26" s="10" t="s">
        <v>6</v>
      </c>
      <c r="D26" s="10" t="s">
        <v>26</v>
      </c>
    </row>
    <row r="27" spans="1:4" x14ac:dyDescent="0.3">
      <c r="A27" s="10">
        <v>26</v>
      </c>
      <c r="B27" s="10">
        <v>1001</v>
      </c>
      <c r="C27" s="10" t="s">
        <v>7</v>
      </c>
      <c r="D27" s="10" t="s">
        <v>26</v>
      </c>
    </row>
    <row r="28" spans="1:4" x14ac:dyDescent="0.3">
      <c r="A28" s="10">
        <v>27</v>
      </c>
      <c r="B28" s="10">
        <v>1002</v>
      </c>
      <c r="C28" s="10" t="s">
        <v>7</v>
      </c>
      <c r="D28" s="10" t="s">
        <v>26</v>
      </c>
    </row>
    <row r="29" spans="1:4" x14ac:dyDescent="0.3">
      <c r="A29" s="10">
        <v>28</v>
      </c>
      <c r="B29" s="10">
        <v>1003</v>
      </c>
      <c r="C29" s="10" t="s">
        <v>7</v>
      </c>
      <c r="D29" s="10" t="s">
        <v>18</v>
      </c>
    </row>
    <row r="30" spans="1:4" x14ac:dyDescent="0.3">
      <c r="A30" s="10">
        <v>29</v>
      </c>
      <c r="B30" s="10">
        <v>1004</v>
      </c>
      <c r="C30" s="10" t="s">
        <v>7</v>
      </c>
      <c r="D30" s="10" t="s">
        <v>19</v>
      </c>
    </row>
    <row r="31" spans="1:4" x14ac:dyDescent="0.3">
      <c r="A31" s="10">
        <v>30</v>
      </c>
      <c r="B31" s="10">
        <v>1005</v>
      </c>
      <c r="C31" s="10" t="s">
        <v>7</v>
      </c>
      <c r="D31" s="10" t="s">
        <v>20</v>
      </c>
    </row>
    <row r="32" spans="1:4" x14ac:dyDescent="0.3">
      <c r="A32" s="10">
        <v>31</v>
      </c>
      <c r="B32" s="10">
        <v>1001</v>
      </c>
      <c r="C32" s="10" t="s">
        <v>7</v>
      </c>
      <c r="D32" s="10" t="s">
        <v>20</v>
      </c>
    </row>
    <row r="33" spans="1:4" x14ac:dyDescent="0.3">
      <c r="A33" s="10">
        <v>32</v>
      </c>
      <c r="B33" s="10">
        <v>1002</v>
      </c>
      <c r="C33" s="10" t="s">
        <v>7</v>
      </c>
      <c r="D33" s="10" t="s">
        <v>21</v>
      </c>
    </row>
    <row r="34" spans="1:4" x14ac:dyDescent="0.3">
      <c r="A34" s="10">
        <v>33</v>
      </c>
      <c r="B34" s="10">
        <v>1003</v>
      </c>
      <c r="C34" s="10" t="s">
        <v>8</v>
      </c>
      <c r="D34" s="10" t="s">
        <v>28</v>
      </c>
    </row>
    <row r="35" spans="1:4" x14ac:dyDescent="0.3">
      <c r="A35" s="10">
        <v>34</v>
      </c>
      <c r="B35" s="10">
        <v>1004</v>
      </c>
      <c r="C35" s="10" t="s">
        <v>8</v>
      </c>
      <c r="D35" s="10" t="s">
        <v>28</v>
      </c>
    </row>
    <row r="36" spans="1:4" x14ac:dyDescent="0.3">
      <c r="A36" s="10">
        <v>35</v>
      </c>
      <c r="B36" s="10">
        <v>1005</v>
      </c>
      <c r="C36" s="10" t="s">
        <v>8</v>
      </c>
      <c r="D36" s="10" t="s">
        <v>27</v>
      </c>
    </row>
    <row r="37" spans="1:4" x14ac:dyDescent="0.3">
      <c r="A37" s="10">
        <v>36</v>
      </c>
      <c r="B37" s="10">
        <v>1001</v>
      </c>
      <c r="C37" s="10" t="s">
        <v>8</v>
      </c>
      <c r="D37" s="10" t="s">
        <v>27</v>
      </c>
    </row>
    <row r="38" spans="1:4" x14ac:dyDescent="0.3">
      <c r="A38" s="10">
        <v>37</v>
      </c>
      <c r="B38" s="10">
        <v>1002</v>
      </c>
      <c r="C38" s="10" t="s">
        <v>8</v>
      </c>
      <c r="D38" s="10" t="s">
        <v>29</v>
      </c>
    </row>
    <row r="39" spans="1:4" x14ac:dyDescent="0.3">
      <c r="A39" s="10">
        <v>38</v>
      </c>
      <c r="B39" s="10">
        <v>1003</v>
      </c>
      <c r="C39" s="10" t="s">
        <v>8</v>
      </c>
      <c r="D39" s="10" t="s">
        <v>30</v>
      </c>
    </row>
    <row r="40" spans="1:4" x14ac:dyDescent="0.3">
      <c r="A40" s="10">
        <v>39</v>
      </c>
      <c r="B40" s="10">
        <v>1004</v>
      </c>
      <c r="C40" s="10" t="s">
        <v>9</v>
      </c>
      <c r="D40" s="10" t="s">
        <v>31</v>
      </c>
    </row>
    <row r="41" spans="1:4" x14ac:dyDescent="0.3">
      <c r="A41" s="10">
        <v>40</v>
      </c>
      <c r="B41" s="10">
        <v>1005</v>
      </c>
      <c r="C41" s="10" t="s">
        <v>9</v>
      </c>
      <c r="D41" s="10" t="s">
        <v>32</v>
      </c>
    </row>
    <row r="42" spans="1:4" x14ac:dyDescent="0.3">
      <c r="A42" s="10">
        <v>41</v>
      </c>
      <c r="B42" s="10">
        <v>1001</v>
      </c>
      <c r="C42" s="10" t="s">
        <v>9</v>
      </c>
      <c r="D42" s="10" t="s">
        <v>33</v>
      </c>
    </row>
    <row r="43" spans="1:4" x14ac:dyDescent="0.3">
      <c r="A43" s="10">
        <v>42</v>
      </c>
      <c r="B43" s="10">
        <v>1002</v>
      </c>
      <c r="C43" s="10" t="s">
        <v>9</v>
      </c>
      <c r="D43" s="10" t="s">
        <v>34</v>
      </c>
    </row>
    <row r="44" spans="1:4" x14ac:dyDescent="0.3">
      <c r="A44" s="10">
        <v>43</v>
      </c>
      <c r="B44" s="10">
        <v>1003</v>
      </c>
      <c r="C44" s="10" t="s">
        <v>9</v>
      </c>
      <c r="D44" s="10" t="s">
        <v>34</v>
      </c>
    </row>
    <row r="45" spans="1:4" x14ac:dyDescent="0.3">
      <c r="A45" s="10">
        <v>44</v>
      </c>
      <c r="B45" s="10">
        <v>1004</v>
      </c>
      <c r="C45" s="10" t="s">
        <v>9</v>
      </c>
    </row>
    <row r="46" spans="1:4" x14ac:dyDescent="0.3">
      <c r="A46" s="10">
        <v>45</v>
      </c>
      <c r="B46" s="10">
        <v>1005</v>
      </c>
      <c r="C46" s="10" t="s">
        <v>9</v>
      </c>
    </row>
    <row r="47" spans="1:4" x14ac:dyDescent="0.3">
      <c r="A47" s="10">
        <v>46</v>
      </c>
      <c r="B47" s="10">
        <v>1001</v>
      </c>
      <c r="C47" s="10" t="s">
        <v>10</v>
      </c>
    </row>
    <row r="48" spans="1:4" x14ac:dyDescent="0.3">
      <c r="A48" s="10">
        <v>47</v>
      </c>
      <c r="B48" s="10">
        <v>1002</v>
      </c>
      <c r="C48" s="10" t="s">
        <v>10</v>
      </c>
    </row>
    <row r="49" spans="1:3" x14ac:dyDescent="0.3">
      <c r="A49" s="10">
        <v>48</v>
      </c>
      <c r="B49" s="10">
        <v>1003</v>
      </c>
      <c r="C49" s="10" t="s">
        <v>10</v>
      </c>
    </row>
    <row r="50" spans="1:3" x14ac:dyDescent="0.3">
      <c r="A50" s="10">
        <v>49</v>
      </c>
      <c r="B50" s="10">
        <v>1004</v>
      </c>
      <c r="C50" s="10" t="s">
        <v>10</v>
      </c>
    </row>
    <row r="51" spans="1:3" x14ac:dyDescent="0.3">
      <c r="A51" s="10">
        <v>50</v>
      </c>
      <c r="B51" s="10">
        <v>1005</v>
      </c>
      <c r="C51" s="10" t="s">
        <v>10</v>
      </c>
    </row>
    <row r="52" spans="1:3" x14ac:dyDescent="0.3">
      <c r="A52" s="10">
        <v>51</v>
      </c>
      <c r="B52" s="10">
        <v>1006</v>
      </c>
      <c r="C52" s="10" t="s">
        <v>44</v>
      </c>
    </row>
  </sheetData>
  <pageMargins left="0.7" right="0.7" top="0.75" bottom="0.75" header="0.3" footer="0.3"/>
  <pageSetup paperSize="9" orientation="portrait" horizontalDpi="300" verticalDpi="300" r:id="rId1"/>
  <headerFooter>
    <oddFooter>&amp;C&amp;"arial,Regular"&amp;10© Copyright 2016 Xilinx</oddFooter>
    <evenFooter>&amp;C&amp;"arial,Regular"&amp;10© Copyright 2016 Xilinx</evenFooter>
    <firstFooter>&amp;C&amp;"arial,Regular"&amp;10© Copyright 2016 Xilinx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Pivot</vt:lpstr>
      <vt:lpstr>MOCKData</vt:lpstr>
      <vt:lpstr>Sheet6</vt:lpstr>
      <vt:lpstr>&gt;20</vt:lpstr>
      <vt:lpstr>Report</vt:lpstr>
      <vt:lpstr>CA</vt:lpstr>
      <vt:lpstr>back-up</vt:lpstr>
    </vt:vector>
  </TitlesOfParts>
  <Company>MyCompany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Ren</dc:creator>
  <cp:keywords>Public</cp:keywords>
  <cp:lastModifiedBy>Rebecca Ren</cp:lastModifiedBy>
  <dcterms:created xsi:type="dcterms:W3CDTF">2016-12-04T01:14:08Z</dcterms:created>
  <dcterms:modified xsi:type="dcterms:W3CDTF">2016-12-04T14:56:02Z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73cbd783-f3ac-479b-84e9-fb5a2ab8cf6f</vt:lpwstr>
  </property>
  <property fmtid="{D5CDD505-2E9C-101B-9397-08002B2CF9AE}" pid="3" name="TITUSCustom1">
    <vt:lpwstr>1</vt:lpwstr>
  </property>
  <property fmtid="{D5CDD505-2E9C-101B-9397-08002B2CF9AE}" pid="4" name="XilinxClassification">
    <vt:lpwstr>Public</vt:lpwstr>
  </property>
  <property fmtid="{D5CDD505-2E9C-101B-9397-08002B2CF9AE}" pid="5" name="XilinxVisual Markings">
    <vt:lpwstr>Yes</vt:lpwstr>
  </property>
  <property fmtid="{D5CDD505-2E9C-101B-9397-08002B2CF9AE}" pid="6" name="XilinxPublication Year">
    <vt:lpwstr>2016</vt:lpwstr>
  </property>
  <property fmtid="{D5CDD505-2E9C-101B-9397-08002B2CF9AE}" pid="7" name="XilinxRemoveLegacyFooters">
    <vt:lpwstr>Yes</vt:lpwstr>
  </property>
</Properties>
</file>